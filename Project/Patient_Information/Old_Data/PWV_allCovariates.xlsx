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F:\NTP651 Project\Patient_Information\"/>
    </mc:Choice>
  </mc:AlternateContent>
  <xr:revisionPtr revIDLastSave="0" documentId="13_ncr:1_{C8F15DA3-B904-4A27-B935-DF822CCDC18D}" xr6:coauthVersionLast="45" xr6:coauthVersionMax="45" xr10:uidLastSave="{00000000-0000-0000-0000-000000000000}"/>
  <bookViews>
    <workbookView xWindow="-120" yWindow="-120" windowWidth="20640" windowHeight="11760" activeTab="3" xr2:uid="{00000000-000D-0000-FFFF-FFFF00000000}"/>
  </bookViews>
  <sheets>
    <sheet name="ad" sheetId="2" r:id="rId1"/>
    <sheet name="mci" sheetId="4" r:id="rId2"/>
    <sheet name="older" sheetId="6" r:id="rId3"/>
    <sheet name="low risk" sheetId="8" r:id="rId4"/>
    <sheet name="high risk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6" l="1"/>
  <c r="D48" i="6"/>
  <c r="E48" i="6"/>
  <c r="F48" i="6"/>
  <c r="G48" i="6"/>
  <c r="H48" i="6"/>
  <c r="I48" i="6"/>
  <c r="J48" i="6"/>
  <c r="K48" i="6"/>
  <c r="B46" i="6"/>
  <c r="C46" i="6"/>
  <c r="D46" i="6"/>
  <c r="E46" i="6"/>
  <c r="F46" i="6"/>
  <c r="G46" i="6"/>
  <c r="H46" i="6"/>
  <c r="I46" i="6"/>
  <c r="J46" i="6"/>
  <c r="K46" i="6"/>
  <c r="B38" i="4"/>
  <c r="D31" i="10"/>
  <c r="E31" i="10"/>
  <c r="F31" i="10"/>
  <c r="G31" i="10"/>
  <c r="H31" i="10"/>
  <c r="I31" i="10"/>
  <c r="J31" i="10"/>
  <c r="K31" i="10"/>
  <c r="B31" i="10"/>
  <c r="D30" i="10"/>
  <c r="E30" i="10"/>
  <c r="F30" i="10"/>
  <c r="G30" i="10"/>
  <c r="H30" i="10"/>
  <c r="I30" i="10"/>
  <c r="J30" i="10"/>
  <c r="K30" i="10"/>
  <c r="B30" i="10"/>
  <c r="D29" i="10"/>
  <c r="E29" i="10"/>
  <c r="F29" i="10"/>
  <c r="G29" i="10"/>
  <c r="H29" i="10"/>
  <c r="I29" i="10"/>
  <c r="J29" i="10"/>
  <c r="K29" i="10"/>
  <c r="B29" i="10"/>
  <c r="E28" i="10"/>
  <c r="F28" i="10"/>
  <c r="G28" i="10"/>
  <c r="H28" i="10"/>
  <c r="I28" i="10"/>
  <c r="J28" i="10"/>
  <c r="K28" i="10"/>
  <c r="D28" i="10"/>
  <c r="B28" i="10"/>
  <c r="C28" i="10"/>
  <c r="D39" i="8"/>
  <c r="E39" i="8"/>
  <c r="F39" i="8"/>
  <c r="G39" i="8"/>
  <c r="H39" i="8"/>
  <c r="I39" i="8"/>
  <c r="J39" i="8"/>
  <c r="K39" i="8"/>
  <c r="B39" i="8"/>
  <c r="D38" i="8"/>
  <c r="E38" i="8"/>
  <c r="F38" i="8"/>
  <c r="G38" i="8"/>
  <c r="H38" i="8"/>
  <c r="I38" i="8"/>
  <c r="J38" i="8"/>
  <c r="K38" i="8"/>
  <c r="B38" i="8"/>
  <c r="D37" i="8"/>
  <c r="E37" i="8"/>
  <c r="F37" i="8"/>
  <c r="G37" i="8"/>
  <c r="H37" i="8"/>
  <c r="I37" i="8"/>
  <c r="J37" i="8"/>
  <c r="K37" i="8"/>
  <c r="B37" i="8"/>
  <c r="E36" i="8"/>
  <c r="F36" i="8"/>
  <c r="G36" i="8"/>
  <c r="H36" i="8"/>
  <c r="I36" i="8"/>
  <c r="J36" i="8"/>
  <c r="K36" i="8"/>
  <c r="D36" i="8"/>
  <c r="C36" i="8"/>
  <c r="B36" i="8"/>
  <c r="D49" i="6"/>
  <c r="E49" i="6"/>
  <c r="F49" i="6"/>
  <c r="G49" i="6"/>
  <c r="H49" i="6"/>
  <c r="I49" i="6"/>
  <c r="J49" i="6"/>
  <c r="K49" i="6"/>
  <c r="B49" i="6"/>
  <c r="D47" i="6"/>
  <c r="E47" i="6"/>
  <c r="F47" i="6"/>
  <c r="G47" i="6"/>
  <c r="H47" i="6"/>
  <c r="I47" i="6"/>
  <c r="J47" i="6"/>
  <c r="K47" i="6"/>
  <c r="B47" i="6"/>
  <c r="D41" i="4"/>
  <c r="E41" i="4"/>
  <c r="F41" i="4"/>
  <c r="G41" i="4"/>
  <c r="H41" i="4"/>
  <c r="I41" i="4"/>
  <c r="J41" i="4"/>
  <c r="K41" i="4"/>
  <c r="B41" i="4"/>
  <c r="D40" i="4"/>
  <c r="E40" i="4"/>
  <c r="F40" i="4"/>
  <c r="G40" i="4"/>
  <c r="H40" i="4"/>
  <c r="I40" i="4"/>
  <c r="J40" i="4"/>
  <c r="K40" i="4"/>
  <c r="B40" i="4"/>
  <c r="D39" i="4"/>
  <c r="E39" i="4"/>
  <c r="F39" i="4"/>
  <c r="G39" i="4"/>
  <c r="H39" i="4"/>
  <c r="I39" i="4"/>
  <c r="J39" i="4"/>
  <c r="K39" i="4"/>
  <c r="B39" i="4"/>
  <c r="E38" i="4"/>
  <c r="F38" i="4"/>
  <c r="G38" i="4"/>
  <c r="H38" i="4"/>
  <c r="I38" i="4"/>
  <c r="J38" i="4"/>
  <c r="K38" i="4"/>
  <c r="D38" i="4"/>
  <c r="C38" i="4"/>
  <c r="C32" i="2"/>
  <c r="D35" i="2"/>
  <c r="E35" i="2"/>
  <c r="F35" i="2"/>
  <c r="G35" i="2"/>
  <c r="H35" i="2"/>
  <c r="I35" i="2"/>
  <c r="J35" i="2"/>
  <c r="K35" i="2"/>
  <c r="B35" i="2"/>
  <c r="D34" i="2"/>
  <c r="E34" i="2"/>
  <c r="F34" i="2"/>
  <c r="G34" i="2"/>
  <c r="H34" i="2"/>
  <c r="I34" i="2"/>
  <c r="J34" i="2"/>
  <c r="K34" i="2"/>
  <c r="B34" i="2"/>
  <c r="D33" i="2"/>
  <c r="E33" i="2"/>
  <c r="F33" i="2"/>
  <c r="G33" i="2"/>
  <c r="H33" i="2"/>
  <c r="I33" i="2"/>
  <c r="J33" i="2"/>
  <c r="K33" i="2"/>
  <c r="B33" i="2"/>
  <c r="D32" i="2"/>
  <c r="E32" i="2"/>
  <c r="F32" i="2"/>
  <c r="G32" i="2"/>
  <c r="H32" i="2"/>
  <c r="I32" i="2"/>
  <c r="J32" i="2"/>
  <c r="K32" i="2"/>
  <c r="B32" i="2"/>
  <c r="A27" i="10"/>
  <c r="A35" i="8"/>
  <c r="A31" i="2"/>
  <c r="A37" i="4"/>
  <c r="A45" i="6"/>
</calcChain>
</file>

<file path=xl/sharedStrings.xml><?xml version="1.0" encoding="utf-8"?>
<sst xmlns="http://schemas.openxmlformats.org/spreadsheetml/2006/main" count="415" uniqueCount="182">
  <si>
    <t>'adrc00343_v2'</t>
  </si>
  <si>
    <t>'adrc00405_v2'</t>
  </si>
  <si>
    <t>'adrc00564'</t>
  </si>
  <si>
    <t>'adrc00609_v2'</t>
  </si>
  <si>
    <t>'adrc00739'</t>
  </si>
  <si>
    <t>'adrc00750'</t>
  </si>
  <si>
    <t>'adrc00778'</t>
  </si>
  <si>
    <t>'adrc00791'</t>
  </si>
  <si>
    <t>'adrc00811'</t>
  </si>
  <si>
    <t>'adrc00820'</t>
  </si>
  <si>
    <t>'adrc00860'</t>
  </si>
  <si>
    <t>'adrc00863'</t>
  </si>
  <si>
    <t>'adrc00893'</t>
  </si>
  <si>
    <t>'adrc00894'</t>
  </si>
  <si>
    <t>'adrc00903'</t>
  </si>
  <si>
    <t>'adrc00919'</t>
  </si>
  <si>
    <t>'adrc00920'</t>
  </si>
  <si>
    <t>'adrc00934'</t>
  </si>
  <si>
    <t>'adrc00939'</t>
  </si>
  <si>
    <t>'adrc00964'</t>
  </si>
  <si>
    <t>'adrc00973'</t>
  </si>
  <si>
    <t>'adrc00991'</t>
  </si>
  <si>
    <t>'adrc00994'</t>
  </si>
  <si>
    <t>'adrc01008'</t>
  </si>
  <si>
    <t>'mk00004'</t>
  </si>
  <si>
    <t>'mk00012'</t>
  </si>
  <si>
    <t>'tau00016_v2'</t>
  </si>
  <si>
    <t>'tau00023_v2'</t>
  </si>
  <si>
    <t>id</t>
  </si>
  <si>
    <t>pwv lt_ica</t>
  </si>
  <si>
    <t>pwv rt_ica</t>
  </si>
  <si>
    <t>pwv_avg</t>
  </si>
  <si>
    <t>'adrc00248_v3'</t>
  </si>
  <si>
    <t>'adrc00301_v3'</t>
  </si>
  <si>
    <t>'adrc00302_v2'</t>
  </si>
  <si>
    <t>'adrc00303_v2'</t>
  </si>
  <si>
    <t>'adrc00383'</t>
  </si>
  <si>
    <t>'adrc00404'</t>
  </si>
  <si>
    <t>'adrc00457_v2'</t>
  </si>
  <si>
    <t>'adrc00587_v3'</t>
  </si>
  <si>
    <t>'adrc00667_v2'</t>
  </si>
  <si>
    <t>'adrc00695_v2'</t>
  </si>
  <si>
    <t>'adrc00713_v2'</t>
  </si>
  <si>
    <t>'adrc00715'</t>
  </si>
  <si>
    <t>'adrc00730_v2'</t>
  </si>
  <si>
    <t>'adrc00734'</t>
  </si>
  <si>
    <t>'adrc00759_v2'</t>
  </si>
  <si>
    <t>'adrc00765'</t>
  </si>
  <si>
    <t>'adrc00780_v2'</t>
  </si>
  <si>
    <t>'adrc00783'</t>
  </si>
  <si>
    <t>'adrc00807'</t>
  </si>
  <si>
    <t>'adrc00892'</t>
  </si>
  <si>
    <t>'adrc00897'</t>
  </si>
  <si>
    <t>'adrc00929'</t>
  </si>
  <si>
    <t>'adrc00933'</t>
  </si>
  <si>
    <t>'adrc00937'</t>
  </si>
  <si>
    <t>'adrc00946'</t>
  </si>
  <si>
    <t>'adrc00947'</t>
  </si>
  <si>
    <t>'adrc00953'</t>
  </si>
  <si>
    <t>'adrc00987'</t>
  </si>
  <si>
    <t>'pdt00001_v3'</t>
  </si>
  <si>
    <t>'pdt00065_v3'</t>
  </si>
  <si>
    <t>'pdt00207_v3'</t>
  </si>
  <si>
    <t>'pdt00228_v3'</t>
  </si>
  <si>
    <t>'pdt00230_v3'</t>
  </si>
  <si>
    <t>'tau00015_v2'</t>
  </si>
  <si>
    <t>'adrc00057_v3'</t>
  </si>
  <si>
    <t>'adrc00175_v2'</t>
  </si>
  <si>
    <t>'adrc00178_v2'</t>
  </si>
  <si>
    <t>'adrc00246_v2'</t>
  </si>
  <si>
    <t>'adrc00247_v3'</t>
  </si>
  <si>
    <t>'adrc00249_v2'</t>
  </si>
  <si>
    <t>'adrc00269_v2'</t>
  </si>
  <si>
    <t>'adrc00270_v3'</t>
  </si>
  <si>
    <t>'adrc00286_v3'</t>
  </si>
  <si>
    <t>'adrc00298_v2'</t>
  </si>
  <si>
    <t>'adrc00316_v2'</t>
  </si>
  <si>
    <t>'adrc00334_v3'</t>
  </si>
  <si>
    <t>'adrc00336_v2'</t>
  </si>
  <si>
    <t>'adrc00353_v2'</t>
  </si>
  <si>
    <t>'adrc00446_v3'</t>
  </si>
  <si>
    <t>'adrc00464_v3'</t>
  </si>
  <si>
    <t>'adrc00554_v2'</t>
  </si>
  <si>
    <t>'adrc00574_v3'</t>
  </si>
  <si>
    <t>'adrc00589_v2'</t>
  </si>
  <si>
    <t>'adrc00592_v2'</t>
  </si>
  <si>
    <t>'adrc00669_v2'</t>
  </si>
  <si>
    <t>'adrc00689_v2'</t>
  </si>
  <si>
    <t>'adrc00694_v3'</t>
  </si>
  <si>
    <t>'adrc00712_v2'</t>
  </si>
  <si>
    <t>'adrc00719'</t>
  </si>
  <si>
    <t>'adrc00721_v2'</t>
  </si>
  <si>
    <t>'adrc00767_v2'</t>
  </si>
  <si>
    <t>'adrc00773'</t>
  </si>
  <si>
    <t>'adrc00788'</t>
  </si>
  <si>
    <t>'adrc00808_v2'</t>
  </si>
  <si>
    <t>'adrc00855_v2'</t>
  </si>
  <si>
    <t>'lead00113_v3'</t>
  </si>
  <si>
    <t>'pdt00034_v3'</t>
  </si>
  <si>
    <t>'pdt00035_v3'</t>
  </si>
  <si>
    <t>'pdt00045_v3'</t>
  </si>
  <si>
    <t>'pdt00056_v3'</t>
  </si>
  <si>
    <t>'pdt00092_v3'</t>
  </si>
  <si>
    <t>'pdt00202_v3'</t>
  </si>
  <si>
    <t>'pdt00218_v3'</t>
  </si>
  <si>
    <t>'pdt00258_v3'</t>
  </si>
  <si>
    <t>'pdt00049_v3'</t>
  </si>
  <si>
    <t>'adrc00227_v3'</t>
  </si>
  <si>
    <t>'adrc00236_v3'</t>
  </si>
  <si>
    <t>'adrc00389_v2'</t>
  </si>
  <si>
    <t>'adrc00434_v2'</t>
  </si>
  <si>
    <t>'adrc00526_v3'</t>
  </si>
  <si>
    <t>'adrc00550_v3'</t>
  </si>
  <si>
    <t>'adrc00561_v3'</t>
  </si>
  <si>
    <t>'adrc00635'</t>
  </si>
  <si>
    <t>'adrc00674_v2'</t>
  </si>
  <si>
    <t>'adrc00680_v2'</t>
  </si>
  <si>
    <t>'adrc00751'</t>
  </si>
  <si>
    <t>'adrc00755_v2'</t>
  </si>
  <si>
    <t>'adrc00782_v2'</t>
  </si>
  <si>
    <t>'adrc00801_v2'</t>
  </si>
  <si>
    <t>'adrc00805'</t>
  </si>
  <si>
    <t>'adrc00828_v2'</t>
  </si>
  <si>
    <t>'adrc00839_v2'</t>
  </si>
  <si>
    <t>'adrc00842_v2'</t>
  </si>
  <si>
    <t>'adrc00843_v2'</t>
  </si>
  <si>
    <t>'adrc00851_v2'</t>
  </si>
  <si>
    <t>'adrc00871'</t>
  </si>
  <si>
    <t>'adrc00883'</t>
  </si>
  <si>
    <t>'adrc00895'</t>
  </si>
  <si>
    <t>'adrc00902'</t>
  </si>
  <si>
    <t>'adrc00936'</t>
  </si>
  <si>
    <t>'adrc00958'</t>
  </si>
  <si>
    <t>'adrc00997'</t>
  </si>
  <si>
    <t>'pdt00027_v3'</t>
  </si>
  <si>
    <t>'pdt00115_v3'</t>
  </si>
  <si>
    <t>'ptd00016_v3'</t>
  </si>
  <si>
    <t>'adrc00489_v3'</t>
  </si>
  <si>
    <t>'adrc00159_v2'</t>
  </si>
  <si>
    <t>'adrc00217_v2'</t>
  </si>
  <si>
    <t>'adrc00230_v3'</t>
  </si>
  <si>
    <t>'adrc00305_v3'</t>
  </si>
  <si>
    <t>'adrc00311_v2'</t>
  </si>
  <si>
    <t>'adrc00368_v2'</t>
  </si>
  <si>
    <t>'adrc00549_v3'</t>
  </si>
  <si>
    <t>'adrc00707_v2'</t>
  </si>
  <si>
    <t>'adrc00746_v2'</t>
  </si>
  <si>
    <t>'adrc00756_v2'</t>
  </si>
  <si>
    <t>'pdt00003_v3'</t>
  </si>
  <si>
    <t>'pdt00006_v4'</t>
  </si>
  <si>
    <t>'pdt00225_v3'</t>
  </si>
  <si>
    <t>'pdt00235_v3'</t>
  </si>
  <si>
    <t>'adrc00170_v2'</t>
  </si>
  <si>
    <t>'adrc00187_v3'</t>
  </si>
  <si>
    <t>'adrc00451_v2'</t>
  </si>
  <si>
    <t>'adrc00596'</t>
  </si>
  <si>
    <t>'adrc00633_v2'</t>
  </si>
  <si>
    <t>'adrc00654_v2'</t>
  </si>
  <si>
    <t>'pdt00029_v3'</t>
  </si>
  <si>
    <t>'pdt00052_v3'</t>
  </si>
  <si>
    <t>'pdt00253_v3'</t>
  </si>
  <si>
    <t>adrc00317_v3'</t>
  </si>
  <si>
    <t>age</t>
  </si>
  <si>
    <t xml:space="preserve">flow petrous L&amp;R </t>
  </si>
  <si>
    <t>PI petrous L&amp;R</t>
  </si>
  <si>
    <t>adrc00754'</t>
  </si>
  <si>
    <t>adrc00535_v2'</t>
  </si>
  <si>
    <t>spb</t>
  </si>
  <si>
    <t>dbp</t>
  </si>
  <si>
    <t>sex</t>
  </si>
  <si>
    <t>Male</t>
  </si>
  <si>
    <t>Female</t>
  </si>
  <si>
    <t>apoe_e1</t>
  </si>
  <si>
    <t>apoe_e2</t>
  </si>
  <si>
    <t>HR (bpm)</t>
  </si>
  <si>
    <t>FmHx_dementia</t>
  </si>
  <si>
    <t>maternal Hx</t>
  </si>
  <si>
    <t>paternal Hx</t>
  </si>
  <si>
    <t>Mean</t>
  </si>
  <si>
    <t>Std Dev</t>
  </si>
  <si>
    <t>Maximum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</si>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</sst>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0" borderId="0" xfId="0" quotePrefix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0" xfId="0" applyNumberFormat="1"/>
    <xf numFmtId="2" fontId="0" fillId="0" borderId="2" xfId="0" applyNumberFormat="1" applyBorder="1"/>
    <xf numFmtId="0" fontId="0" fillId="0" borderId="2" xfId="0" quotePrefix="1" applyBorder="1"/>
    <xf numFmtId="0" fontId="2" fillId="0" borderId="0" xfId="0" applyFont="1"/>
    <xf numFmtId="0" fontId="3" fillId="0" borderId="0" xfId="0" applyFont="1"/>
    <xf numFmtId="1" fontId="0" fillId="0" borderId="0" xfId="0" applyNumberFormat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opLeftCell="A7" workbookViewId="0">
      <selection activeCell="I43" sqref="I43"/>
    </sheetView>
  </sheetViews>
  <sheetFormatPr defaultRowHeight="15" x14ac:dyDescent="0.25"/>
  <cols>
    <col min="1" max="1" width="15.85546875" customWidth="1"/>
    <col min="2" max="3" width="11.5703125" bestFit="1" customWidth="1"/>
    <col min="4" max="5" width="9.140625" customWidth="1"/>
    <col min="6" max="6" width="9.85546875" customWidth="1"/>
    <col min="7" max="9" width="12.140625" customWidth="1"/>
    <col min="10" max="11" width="17.28515625" customWidth="1"/>
    <col min="14" max="14" width="15.7109375" customWidth="1"/>
    <col min="15" max="15" width="24.85546875" customWidth="1"/>
  </cols>
  <sheetData>
    <row r="1" spans="1:14" x14ac:dyDescent="0.25">
      <c r="A1" s="10" t="s">
        <v>28</v>
      </c>
      <c r="B1" s="8" t="s">
        <v>162</v>
      </c>
      <c r="C1" s="10" t="s">
        <v>169</v>
      </c>
      <c r="D1" s="8" t="s">
        <v>167</v>
      </c>
      <c r="E1" s="8" t="s">
        <v>168</v>
      </c>
      <c r="F1" s="10" t="s">
        <v>174</v>
      </c>
      <c r="G1" s="8" t="s">
        <v>29</v>
      </c>
      <c r="H1" s="8" t="s">
        <v>30</v>
      </c>
      <c r="I1" s="8" t="s">
        <v>31</v>
      </c>
      <c r="J1" s="8" t="s">
        <v>163</v>
      </c>
      <c r="K1" s="10" t="s">
        <v>164</v>
      </c>
      <c r="L1" s="8" t="s">
        <v>172</v>
      </c>
      <c r="M1" s="8" t="s">
        <v>173</v>
      </c>
      <c r="N1" s="10" t="s">
        <v>175</v>
      </c>
    </row>
    <row r="2" spans="1:14" ht="15.75" customHeight="1" x14ac:dyDescent="0.25">
      <c r="A2" s="9" t="s">
        <v>0</v>
      </c>
      <c r="B2" s="2">
        <v>87.97</v>
      </c>
      <c r="C2" s="9" t="s">
        <v>170</v>
      </c>
      <c r="D2" s="7">
        <v>146</v>
      </c>
      <c r="E2" s="7">
        <v>80</v>
      </c>
      <c r="F2" s="9">
        <v>63.5593</v>
      </c>
      <c r="G2">
        <v>22.7851</v>
      </c>
      <c r="H2">
        <v>24.170100000000001</v>
      </c>
      <c r="I2">
        <v>23.477599999999999</v>
      </c>
      <c r="J2" s="7">
        <v>3.29</v>
      </c>
      <c r="K2" s="9">
        <v>1.385</v>
      </c>
      <c r="L2" s="7">
        <v>3</v>
      </c>
      <c r="M2" s="7">
        <v>3</v>
      </c>
      <c r="N2" s="9">
        <v>0</v>
      </c>
    </row>
    <row r="3" spans="1:14" x14ac:dyDescent="0.25">
      <c r="A3" s="9" t="s">
        <v>1</v>
      </c>
      <c r="B3" s="2">
        <v>72.510000000000005</v>
      </c>
      <c r="C3" s="9" t="s">
        <v>171</v>
      </c>
      <c r="D3" s="7">
        <v>150</v>
      </c>
      <c r="E3" s="7">
        <v>80</v>
      </c>
      <c r="F3" s="9">
        <v>92.879300000000001</v>
      </c>
      <c r="G3">
        <v>42.6706</v>
      </c>
      <c r="H3">
        <v>61.820700000000002</v>
      </c>
      <c r="I3">
        <v>52.245649999999998</v>
      </c>
      <c r="J3" s="7">
        <v>2.4550000000000001</v>
      </c>
      <c r="K3" s="9">
        <v>1.335</v>
      </c>
      <c r="L3" s="7">
        <v>3</v>
      </c>
      <c r="M3" s="7">
        <v>4</v>
      </c>
      <c r="N3" s="9">
        <v>1</v>
      </c>
    </row>
    <row r="4" spans="1:14" x14ac:dyDescent="0.25">
      <c r="A4" s="9" t="s">
        <v>2</v>
      </c>
      <c r="B4" s="2">
        <v>69.89</v>
      </c>
      <c r="C4" s="9" t="s">
        <v>170</v>
      </c>
      <c r="D4" s="7">
        <v>143</v>
      </c>
      <c r="E4" s="7">
        <v>78</v>
      </c>
      <c r="F4" s="9">
        <v>60.362200000000001</v>
      </c>
      <c r="G4">
        <v>42.900500000000001</v>
      </c>
      <c r="H4">
        <v>10.424099999999999</v>
      </c>
      <c r="I4">
        <v>26.662299999999998</v>
      </c>
      <c r="J4" s="7">
        <v>3.2050000000000001</v>
      </c>
      <c r="K4" s="9">
        <v>1.27</v>
      </c>
      <c r="L4" s="7">
        <v>2</v>
      </c>
      <c r="M4" s="7">
        <v>3</v>
      </c>
      <c r="N4" s="9">
        <v>0</v>
      </c>
    </row>
    <row r="5" spans="1:14" x14ac:dyDescent="0.25">
      <c r="A5" s="9" t="s">
        <v>3</v>
      </c>
      <c r="B5" s="2">
        <v>73.790000000000006</v>
      </c>
      <c r="C5" s="9" t="s">
        <v>171</v>
      </c>
      <c r="D5" s="7">
        <v>135</v>
      </c>
      <c r="E5" s="7">
        <v>74</v>
      </c>
      <c r="F5" s="9">
        <v>58.139499999999998</v>
      </c>
      <c r="G5">
        <v>21.241399999999999</v>
      </c>
      <c r="H5">
        <v>14.238799999999999</v>
      </c>
      <c r="I5">
        <v>17.740100000000002</v>
      </c>
      <c r="J5" s="7">
        <v>3.395</v>
      </c>
      <c r="K5" s="9">
        <v>1.4350000000000001</v>
      </c>
      <c r="L5" s="7">
        <v>3</v>
      </c>
      <c r="M5" s="7">
        <v>4</v>
      </c>
      <c r="N5" s="9">
        <v>0</v>
      </c>
    </row>
    <row r="6" spans="1:14" x14ac:dyDescent="0.25">
      <c r="A6" s="9" t="s">
        <v>4</v>
      </c>
      <c r="B6" s="2">
        <v>69.59</v>
      </c>
      <c r="C6" s="9" t="s">
        <v>170</v>
      </c>
      <c r="D6" s="7">
        <v>115</v>
      </c>
      <c r="E6" s="7">
        <v>74</v>
      </c>
      <c r="F6" s="9">
        <v>55.248600000000003</v>
      </c>
      <c r="G6">
        <v>23.508099999999999</v>
      </c>
      <c r="H6">
        <v>12.071999999999999</v>
      </c>
      <c r="I6">
        <v>17.790050000000001</v>
      </c>
      <c r="J6" s="7">
        <v>2.4000000000000004</v>
      </c>
      <c r="K6" s="9">
        <v>1.25</v>
      </c>
      <c r="L6" s="7">
        <v>3</v>
      </c>
      <c r="M6" s="7">
        <v>4</v>
      </c>
      <c r="N6" s="9">
        <v>0</v>
      </c>
    </row>
    <row r="7" spans="1:14" x14ac:dyDescent="0.25">
      <c r="A7" s="9" t="s">
        <v>5</v>
      </c>
      <c r="B7" s="2">
        <v>69.97</v>
      </c>
      <c r="C7" s="9" t="s">
        <v>171</v>
      </c>
      <c r="D7" s="7">
        <v>131</v>
      </c>
      <c r="E7" s="7">
        <v>81</v>
      </c>
      <c r="F7" s="9">
        <v>56.497199999999999</v>
      </c>
      <c r="G7">
        <v>24.686699999999998</v>
      </c>
      <c r="H7">
        <v>28.152799999999999</v>
      </c>
      <c r="I7">
        <v>26.419750000000001</v>
      </c>
      <c r="J7" s="7">
        <v>3.085</v>
      </c>
      <c r="K7" s="9">
        <v>1.1749999999999998</v>
      </c>
      <c r="L7" s="7">
        <v>4</v>
      </c>
      <c r="M7" s="7">
        <v>4</v>
      </c>
      <c r="N7" s="9">
        <v>1</v>
      </c>
    </row>
    <row r="8" spans="1:14" x14ac:dyDescent="0.25">
      <c r="A8" s="9" t="s">
        <v>6</v>
      </c>
      <c r="B8" s="2">
        <v>71.55</v>
      </c>
      <c r="C8" s="9" t="s">
        <v>171</v>
      </c>
      <c r="D8" s="7">
        <v>116</v>
      </c>
      <c r="E8" s="7">
        <v>74</v>
      </c>
      <c r="F8" s="9">
        <v>56.710799999999999</v>
      </c>
      <c r="G8">
        <v>31.1677</v>
      </c>
      <c r="H8">
        <v>40.292499999999997</v>
      </c>
      <c r="I8">
        <v>35.7301</v>
      </c>
      <c r="J8" s="7">
        <v>2.85</v>
      </c>
      <c r="K8" s="9">
        <v>1.415</v>
      </c>
      <c r="L8" s="7">
        <v>3</v>
      </c>
      <c r="M8" s="7">
        <v>4</v>
      </c>
      <c r="N8" s="9">
        <v>1</v>
      </c>
    </row>
    <row r="9" spans="1:14" x14ac:dyDescent="0.25">
      <c r="A9" s="9" t="s">
        <v>7</v>
      </c>
      <c r="B9" s="2">
        <v>83.97</v>
      </c>
      <c r="C9" s="9" t="s">
        <v>171</v>
      </c>
      <c r="D9" s="7">
        <v>158</v>
      </c>
      <c r="E9" s="7">
        <v>71</v>
      </c>
      <c r="F9" s="9">
        <v>66.079300000000003</v>
      </c>
      <c r="G9">
        <v>33.996099999999998</v>
      </c>
      <c r="H9">
        <v>14.5291</v>
      </c>
      <c r="I9">
        <v>24.262599999999999</v>
      </c>
      <c r="J9" s="7">
        <v>4.43</v>
      </c>
      <c r="K9" s="9">
        <v>1.8149999999999999</v>
      </c>
      <c r="L9" s="7"/>
      <c r="M9" s="7"/>
      <c r="N9" s="9">
        <v>1</v>
      </c>
    </row>
    <row r="10" spans="1:14" x14ac:dyDescent="0.25">
      <c r="A10" s="9" t="s">
        <v>8</v>
      </c>
      <c r="B10" s="2">
        <v>60.7</v>
      </c>
      <c r="C10" s="9" t="s">
        <v>171</v>
      </c>
      <c r="D10" s="7">
        <v>106</v>
      </c>
      <c r="E10" s="7">
        <v>69</v>
      </c>
      <c r="F10" s="9">
        <v>46.082900000000002</v>
      </c>
      <c r="G10">
        <v>20.796399999999998</v>
      </c>
      <c r="H10">
        <v>20.411899999999999</v>
      </c>
      <c r="I10">
        <v>20.604150000000001</v>
      </c>
      <c r="J10" s="7">
        <v>3.6150000000000002</v>
      </c>
      <c r="K10" s="9">
        <v>0.93500000000000005</v>
      </c>
      <c r="L10" s="7">
        <v>3</v>
      </c>
      <c r="M10" s="7">
        <v>3</v>
      </c>
      <c r="N10" s="9">
        <v>0</v>
      </c>
    </row>
    <row r="11" spans="1:14" x14ac:dyDescent="0.25">
      <c r="A11" s="9" t="s">
        <v>9</v>
      </c>
      <c r="B11" s="2">
        <v>75.319999999999993</v>
      </c>
      <c r="C11" s="9" t="s">
        <v>171</v>
      </c>
      <c r="D11" s="7">
        <v>148</v>
      </c>
      <c r="E11" s="7">
        <v>76</v>
      </c>
      <c r="F11" s="9">
        <v>71.258899999999997</v>
      </c>
      <c r="H11">
        <v>25.799199999999999</v>
      </c>
      <c r="I11">
        <v>25.799199999999999</v>
      </c>
      <c r="J11" s="7">
        <v>3.13</v>
      </c>
      <c r="K11" s="9">
        <v>1.01</v>
      </c>
      <c r="L11" s="7">
        <v>3</v>
      </c>
      <c r="M11" s="7">
        <v>4</v>
      </c>
      <c r="N11" s="9">
        <v>1</v>
      </c>
    </row>
    <row r="12" spans="1:14" x14ac:dyDescent="0.25">
      <c r="A12" s="9" t="s">
        <v>10</v>
      </c>
      <c r="B12" s="2">
        <v>79.81</v>
      </c>
      <c r="C12" s="9" t="s">
        <v>170</v>
      </c>
      <c r="D12" s="7">
        <v>163</v>
      </c>
      <c r="E12" s="7">
        <v>75</v>
      </c>
      <c r="F12" s="9">
        <v>58.823500000000003</v>
      </c>
      <c r="G12">
        <v>47.892899999999997</v>
      </c>
      <c r="H12">
        <v>27.565200000000001</v>
      </c>
      <c r="I12">
        <v>37.729050000000001</v>
      </c>
      <c r="J12" s="7">
        <v>3.08</v>
      </c>
      <c r="K12" s="9">
        <v>1.54</v>
      </c>
      <c r="L12" s="7">
        <v>3</v>
      </c>
      <c r="M12" s="7">
        <v>3</v>
      </c>
      <c r="N12" s="9">
        <v>0</v>
      </c>
    </row>
    <row r="13" spans="1:14" x14ac:dyDescent="0.25">
      <c r="A13" s="9" t="s">
        <v>11</v>
      </c>
      <c r="B13" s="2">
        <v>78.37</v>
      </c>
      <c r="C13" s="9" t="s">
        <v>171</v>
      </c>
      <c r="D13" s="7">
        <v>125</v>
      </c>
      <c r="E13" s="7">
        <v>84</v>
      </c>
      <c r="F13" s="9">
        <v>58.939100000000003</v>
      </c>
      <c r="G13">
        <v>40.672800000000002</v>
      </c>
      <c r="H13">
        <v>18.9284</v>
      </c>
      <c r="I13">
        <v>29.800599999999999</v>
      </c>
      <c r="J13" s="7">
        <v>2.4900000000000002</v>
      </c>
      <c r="K13" s="9">
        <v>1.28</v>
      </c>
      <c r="L13" s="7"/>
      <c r="M13" s="7"/>
      <c r="N13" s="9">
        <v>0</v>
      </c>
    </row>
    <row r="14" spans="1:14" x14ac:dyDescent="0.25">
      <c r="A14" s="9" t="s">
        <v>12</v>
      </c>
      <c r="B14" s="2">
        <v>66.95</v>
      </c>
      <c r="C14" s="9" t="s">
        <v>170</v>
      </c>
      <c r="D14" s="7">
        <v>132</v>
      </c>
      <c r="E14" s="7">
        <v>81</v>
      </c>
      <c r="F14" s="9">
        <v>61.601599999999998</v>
      </c>
      <c r="G14">
        <v>53.265900000000002</v>
      </c>
      <c r="H14">
        <v>39.741500000000002</v>
      </c>
      <c r="I14">
        <v>46.503700000000002</v>
      </c>
      <c r="J14" s="7">
        <v>2.11</v>
      </c>
      <c r="K14" s="9">
        <v>1.43</v>
      </c>
      <c r="L14" s="7">
        <v>3</v>
      </c>
      <c r="M14" s="7">
        <v>3</v>
      </c>
      <c r="N14" s="9">
        <v>1</v>
      </c>
    </row>
    <row r="15" spans="1:14" x14ac:dyDescent="0.25">
      <c r="A15" s="9" t="s">
        <v>13</v>
      </c>
      <c r="B15" s="2">
        <v>68.400000000000006</v>
      </c>
      <c r="C15" s="9" t="s">
        <v>171</v>
      </c>
      <c r="D15" s="7">
        <v>128</v>
      </c>
      <c r="E15" s="7">
        <v>83</v>
      </c>
      <c r="F15" s="9">
        <v>44.709400000000002</v>
      </c>
      <c r="G15">
        <v>22.117100000000001</v>
      </c>
      <c r="H15">
        <v>13.7371</v>
      </c>
      <c r="I15">
        <v>17.927099999999999</v>
      </c>
      <c r="J15" s="7">
        <v>4.4249999999999998</v>
      </c>
      <c r="K15" s="9">
        <v>0.91500000000000004</v>
      </c>
      <c r="L15" s="7"/>
      <c r="M15" s="7"/>
      <c r="N15" s="9">
        <v>0</v>
      </c>
    </row>
    <row r="16" spans="1:14" x14ac:dyDescent="0.25">
      <c r="A16" s="9" t="s">
        <v>14</v>
      </c>
      <c r="B16" s="2">
        <v>87.92</v>
      </c>
      <c r="C16" s="9" t="s">
        <v>171</v>
      </c>
      <c r="D16" s="7">
        <v>110</v>
      </c>
      <c r="E16" s="7">
        <v>68</v>
      </c>
      <c r="F16" s="9">
        <v>78.740200000000002</v>
      </c>
      <c r="G16">
        <v>15.723000000000001</v>
      </c>
      <c r="H16">
        <v>21.249500000000001</v>
      </c>
      <c r="I16">
        <v>18.486249999999998</v>
      </c>
      <c r="J16" s="7">
        <v>2.67</v>
      </c>
      <c r="K16" s="9">
        <v>1.51</v>
      </c>
      <c r="L16" s="7">
        <v>2</v>
      </c>
      <c r="M16" s="7">
        <v>3</v>
      </c>
      <c r="N16" s="9">
        <v>0</v>
      </c>
    </row>
    <row r="17" spans="1:15" x14ac:dyDescent="0.25">
      <c r="A17" s="9" t="s">
        <v>15</v>
      </c>
      <c r="B17" s="2">
        <v>77.849999999999994</v>
      </c>
      <c r="C17" s="9" t="s">
        <v>170</v>
      </c>
      <c r="D17" s="7">
        <v>134</v>
      </c>
      <c r="E17" s="7">
        <v>79</v>
      </c>
      <c r="F17" s="9">
        <v>55.045900000000003</v>
      </c>
      <c r="G17">
        <v>33.993400000000001</v>
      </c>
      <c r="H17">
        <v>40.364800000000002</v>
      </c>
      <c r="I17">
        <v>37.179099999999998</v>
      </c>
      <c r="J17" s="7">
        <v>2.81</v>
      </c>
      <c r="K17" s="9">
        <v>1.1850000000000001</v>
      </c>
      <c r="L17" s="7"/>
      <c r="M17" s="7"/>
      <c r="N17" s="9">
        <v>0</v>
      </c>
    </row>
    <row r="18" spans="1:15" x14ac:dyDescent="0.25">
      <c r="A18" s="9" t="s">
        <v>16</v>
      </c>
      <c r="B18" s="2">
        <v>56.52</v>
      </c>
      <c r="C18" s="9" t="s">
        <v>171</v>
      </c>
      <c r="D18" s="7">
        <v>110</v>
      </c>
      <c r="E18" s="7">
        <v>68</v>
      </c>
      <c r="F18" s="9">
        <v>55.248600000000003</v>
      </c>
      <c r="G18">
        <v>17.058299999999999</v>
      </c>
      <c r="H18">
        <v>40.910600000000002</v>
      </c>
      <c r="I18">
        <v>28.984449999999999</v>
      </c>
      <c r="J18" s="7">
        <v>5.2</v>
      </c>
      <c r="K18" s="9">
        <v>0.68</v>
      </c>
      <c r="L18" s="7"/>
      <c r="M18" s="7"/>
      <c r="N18" s="9">
        <v>0</v>
      </c>
    </row>
    <row r="19" spans="1:15" x14ac:dyDescent="0.25">
      <c r="A19" s="9" t="s">
        <v>17</v>
      </c>
      <c r="B19" s="2">
        <v>67.95</v>
      </c>
      <c r="C19" s="9" t="s">
        <v>171</v>
      </c>
      <c r="D19" s="7">
        <v>117</v>
      </c>
      <c r="E19" s="7">
        <v>71</v>
      </c>
      <c r="F19" s="9">
        <v>53.956800000000001</v>
      </c>
      <c r="G19">
        <v>27.2989</v>
      </c>
      <c r="H19">
        <v>33.962899999999998</v>
      </c>
      <c r="I19">
        <v>30.6309</v>
      </c>
      <c r="J19" s="7">
        <v>3.9649999999999999</v>
      </c>
      <c r="K19" s="9">
        <v>1.0649999999999999</v>
      </c>
      <c r="L19" s="7"/>
      <c r="M19" s="7"/>
      <c r="N19" s="9">
        <v>1</v>
      </c>
    </row>
    <row r="20" spans="1:15" x14ac:dyDescent="0.25">
      <c r="A20" s="9" t="s">
        <v>18</v>
      </c>
      <c r="B20" s="2">
        <v>88.55</v>
      </c>
      <c r="C20" s="9" t="s">
        <v>171</v>
      </c>
      <c r="D20" s="7">
        <v>153</v>
      </c>
      <c r="E20" s="7">
        <v>72</v>
      </c>
      <c r="F20" s="9">
        <v>55.970100000000002</v>
      </c>
      <c r="G20">
        <v>17.7166</v>
      </c>
      <c r="H20">
        <v>29.0608</v>
      </c>
      <c r="I20">
        <v>23.3887</v>
      </c>
      <c r="J20" s="7">
        <v>2.2850000000000001</v>
      </c>
      <c r="K20" s="9">
        <v>1.9550000000000001</v>
      </c>
      <c r="L20" s="7"/>
      <c r="M20" s="7"/>
      <c r="N20" s="9">
        <v>0</v>
      </c>
    </row>
    <row r="21" spans="1:15" x14ac:dyDescent="0.25">
      <c r="A21" s="9" t="s">
        <v>19</v>
      </c>
      <c r="B21" s="2">
        <v>60.63</v>
      </c>
      <c r="C21" s="9" t="s">
        <v>170</v>
      </c>
      <c r="D21" s="7">
        <v>95</v>
      </c>
      <c r="E21" s="7">
        <v>61</v>
      </c>
      <c r="F21" s="9">
        <v>50</v>
      </c>
      <c r="G21">
        <v>18.142099999999999</v>
      </c>
      <c r="H21">
        <v>16.5245</v>
      </c>
      <c r="I21">
        <v>17.333300000000001</v>
      </c>
      <c r="J21" s="7">
        <v>2.8899999999999997</v>
      </c>
      <c r="K21" s="9">
        <v>1.26</v>
      </c>
      <c r="L21" s="7"/>
      <c r="M21" s="7"/>
      <c r="N21" s="9">
        <v>0</v>
      </c>
    </row>
    <row r="22" spans="1:15" x14ac:dyDescent="0.25">
      <c r="A22" s="9" t="s">
        <v>20</v>
      </c>
      <c r="B22" s="2">
        <v>49.61</v>
      </c>
      <c r="C22" s="9" t="s">
        <v>170</v>
      </c>
      <c r="D22" s="7">
        <v>144</v>
      </c>
      <c r="E22" s="7">
        <v>94</v>
      </c>
      <c r="F22" s="9">
        <v>68.181799999999996</v>
      </c>
      <c r="G22">
        <v>42.827500000000001</v>
      </c>
      <c r="H22">
        <v>42.903300000000002</v>
      </c>
      <c r="I22">
        <v>42.865400000000001</v>
      </c>
      <c r="J22" s="7">
        <v>3.1</v>
      </c>
      <c r="K22" s="9">
        <v>1.0900000000000001</v>
      </c>
      <c r="L22" s="7"/>
      <c r="M22" s="7"/>
      <c r="N22" s="9">
        <v>1</v>
      </c>
    </row>
    <row r="23" spans="1:15" x14ac:dyDescent="0.25">
      <c r="A23" s="9" t="s">
        <v>21</v>
      </c>
      <c r="B23" s="2">
        <v>60.88</v>
      </c>
      <c r="C23" s="9" t="s">
        <v>171</v>
      </c>
      <c r="D23" s="7">
        <v>101</v>
      </c>
      <c r="E23" s="7">
        <v>63</v>
      </c>
      <c r="F23" s="9">
        <v>61.224499999999999</v>
      </c>
      <c r="G23">
        <v>47.892899999999997</v>
      </c>
      <c r="H23">
        <v>42.501300000000001</v>
      </c>
      <c r="I23">
        <v>45.197099999999999</v>
      </c>
      <c r="J23" s="7">
        <v>3.07</v>
      </c>
      <c r="K23" s="9">
        <v>0.8</v>
      </c>
      <c r="L23" s="7"/>
      <c r="M23" s="7"/>
      <c r="N23" s="9">
        <v>0</v>
      </c>
    </row>
    <row r="24" spans="1:15" x14ac:dyDescent="0.25">
      <c r="A24" s="9" t="s">
        <v>22</v>
      </c>
      <c r="B24" s="2">
        <v>80.34</v>
      </c>
      <c r="C24" s="9" t="s">
        <v>170</v>
      </c>
      <c r="D24" s="7">
        <v>147</v>
      </c>
      <c r="E24" s="7">
        <v>60</v>
      </c>
      <c r="F24" s="9">
        <v>45.180700000000002</v>
      </c>
      <c r="G24">
        <v>35.487099999999998</v>
      </c>
      <c r="H24">
        <v>34.220700000000001</v>
      </c>
      <c r="I24">
        <v>34.853900000000003</v>
      </c>
      <c r="J24" s="7">
        <v>2.31</v>
      </c>
      <c r="K24" s="9">
        <v>1.7749999999999999</v>
      </c>
      <c r="L24" s="7"/>
      <c r="M24" s="7"/>
      <c r="N24" s="9">
        <v>0</v>
      </c>
    </row>
    <row r="25" spans="1:15" x14ac:dyDescent="0.25">
      <c r="A25" s="9" t="s">
        <v>23</v>
      </c>
      <c r="B25" s="2">
        <v>81.41</v>
      </c>
      <c r="C25" s="9" t="s">
        <v>171</v>
      </c>
      <c r="D25" s="7">
        <v>130</v>
      </c>
      <c r="E25" s="7">
        <v>71</v>
      </c>
      <c r="F25" s="9">
        <v>60.851900000000001</v>
      </c>
      <c r="G25">
        <v>14.147600000000001</v>
      </c>
      <c r="H25">
        <v>38.312800000000003</v>
      </c>
      <c r="I25">
        <v>26.2302</v>
      </c>
      <c r="J25" s="7">
        <v>2.835</v>
      </c>
      <c r="K25" s="9">
        <v>1.4</v>
      </c>
      <c r="L25" s="7"/>
      <c r="M25" s="7"/>
      <c r="N25" s="9">
        <v>1</v>
      </c>
    </row>
    <row r="26" spans="1:15" x14ac:dyDescent="0.25">
      <c r="A26" s="9" t="s">
        <v>24</v>
      </c>
      <c r="B26" s="2">
        <v>72.349999999999994</v>
      </c>
      <c r="C26" s="9" t="s">
        <v>170</v>
      </c>
      <c r="D26" s="7">
        <v>111</v>
      </c>
      <c r="E26" s="7">
        <v>69</v>
      </c>
      <c r="F26" s="9">
        <v>50.761400000000002</v>
      </c>
      <c r="G26">
        <v>42.841900000000003</v>
      </c>
      <c r="H26">
        <v>32.5777</v>
      </c>
      <c r="I26">
        <v>37.709800000000001</v>
      </c>
      <c r="J26" s="7">
        <v>2.2799999999999998</v>
      </c>
      <c r="K26" s="9">
        <v>1.6549999999999998</v>
      </c>
      <c r="L26" s="7">
        <v>3</v>
      </c>
      <c r="M26" s="7">
        <v>3</v>
      </c>
      <c r="N26" s="9">
        <v>0</v>
      </c>
    </row>
    <row r="27" spans="1:15" x14ac:dyDescent="0.25">
      <c r="A27" s="9" t="s">
        <v>25</v>
      </c>
      <c r="B27" s="2">
        <v>75.290000000000006</v>
      </c>
      <c r="C27" s="9" t="s">
        <v>171</v>
      </c>
      <c r="D27" s="7">
        <v>147</v>
      </c>
      <c r="E27" s="7">
        <v>77</v>
      </c>
      <c r="F27" s="9">
        <v>64.239800000000002</v>
      </c>
      <c r="G27">
        <v>44.815199999999997</v>
      </c>
      <c r="I27">
        <v>44.815199999999997</v>
      </c>
      <c r="J27" s="7">
        <v>2.46</v>
      </c>
      <c r="K27" s="9">
        <v>1.4350000000000001</v>
      </c>
      <c r="L27" s="7">
        <v>3</v>
      </c>
      <c r="M27" s="7">
        <v>3</v>
      </c>
      <c r="N27" s="9">
        <v>0</v>
      </c>
    </row>
    <row r="28" spans="1:15" x14ac:dyDescent="0.25">
      <c r="A28" s="9" t="s">
        <v>26</v>
      </c>
      <c r="B28" s="2">
        <v>61.66</v>
      </c>
      <c r="C28" s="9" t="s">
        <v>171</v>
      </c>
      <c r="D28" s="7">
        <v>105</v>
      </c>
      <c r="E28" s="7">
        <v>64</v>
      </c>
      <c r="F28" s="9">
        <v>51.546399999999998</v>
      </c>
      <c r="G28">
        <v>12.728400000000001</v>
      </c>
      <c r="H28">
        <v>16.6035</v>
      </c>
      <c r="I28">
        <v>14.66595</v>
      </c>
      <c r="J28" s="7">
        <v>3.58</v>
      </c>
      <c r="K28" s="9">
        <v>1.35</v>
      </c>
      <c r="L28" s="7">
        <v>4</v>
      </c>
      <c r="M28" s="7">
        <v>4</v>
      </c>
      <c r="N28" s="9">
        <v>1</v>
      </c>
    </row>
    <row r="29" spans="1:15" x14ac:dyDescent="0.25">
      <c r="A29" s="10" t="s">
        <v>27</v>
      </c>
      <c r="B29" s="8">
        <v>68.17</v>
      </c>
      <c r="C29" s="10" t="s">
        <v>171</v>
      </c>
      <c r="D29" s="8">
        <v>167</v>
      </c>
      <c r="E29" s="8">
        <v>84</v>
      </c>
      <c r="F29" s="10">
        <v>57.142899999999997</v>
      </c>
      <c r="G29" s="8">
        <v>16.087900000000001</v>
      </c>
      <c r="H29" s="8">
        <v>35.995899999999999</v>
      </c>
      <c r="I29" s="8">
        <v>26.041899999999998</v>
      </c>
      <c r="J29" s="8">
        <v>2.39</v>
      </c>
      <c r="K29" s="10">
        <v>1.58</v>
      </c>
      <c r="L29" s="8">
        <v>3</v>
      </c>
      <c r="M29" s="8">
        <v>4</v>
      </c>
      <c r="N29" s="10">
        <v>1</v>
      </c>
    </row>
    <row r="30" spans="1:15" ht="18" customHeight="1" x14ac:dyDescent="0.25">
      <c r="N30" s="7"/>
      <c r="O30" s="7"/>
    </row>
    <row r="31" spans="1:15" x14ac:dyDescent="0.25">
      <c r="A31" s="14" t="str">
        <f>"# SUBJECTS= " &amp; COUNTA(A2:A29)</f>
        <v># SUBJECTS= 28</v>
      </c>
      <c r="C31" s="15" t="s">
        <v>171</v>
      </c>
    </row>
    <row r="32" spans="1:15" x14ac:dyDescent="0.25">
      <c r="A32" s="7" t="s">
        <v>178</v>
      </c>
      <c r="B32" s="11">
        <f>AVERAGE(B2:B29)</f>
        <v>72.068571428571431</v>
      </c>
      <c r="C32" s="16">
        <f>COUNTIF(C2:C29,"Female")</f>
        <v>18</v>
      </c>
      <c r="D32" s="11">
        <f t="shared" ref="D32:K32" si="0">AVERAGE(D2:D29)</f>
        <v>130.96428571428572</v>
      </c>
      <c r="E32" s="11">
        <f t="shared" si="0"/>
        <v>74.321428571428569</v>
      </c>
      <c r="F32" s="11">
        <f t="shared" si="0"/>
        <v>59.249378571428579</v>
      </c>
      <c r="G32" s="11">
        <f t="shared" si="0"/>
        <v>30.165262962962966</v>
      </c>
      <c r="H32" s="11">
        <f t="shared" si="0"/>
        <v>28.780433333333335</v>
      </c>
      <c r="I32" s="11">
        <f t="shared" si="0"/>
        <v>29.681217857142851</v>
      </c>
      <c r="J32" s="11">
        <f t="shared" si="0"/>
        <v>3.0644642857142848</v>
      </c>
      <c r="K32" s="11">
        <f t="shared" si="0"/>
        <v>1.3189285714285715</v>
      </c>
      <c r="L32" s="7"/>
      <c r="M32" s="7"/>
      <c r="N32" s="7"/>
    </row>
    <row r="33" spans="1:14" x14ac:dyDescent="0.25">
      <c r="A33" s="7" t="s">
        <v>179</v>
      </c>
      <c r="B33" s="11">
        <f>_xlfn.STDEV.S(B2:B29)</f>
        <v>9.7324739781542036</v>
      </c>
      <c r="C33" s="11"/>
      <c r="D33" s="11">
        <f t="shared" ref="D33:K33" si="1">_xlfn.STDEV.S(D2:D29)</f>
        <v>19.963823100905095</v>
      </c>
      <c r="E33" s="11">
        <f t="shared" si="1"/>
        <v>7.7986398217113866</v>
      </c>
      <c r="F33" s="11">
        <f t="shared" si="1"/>
        <v>10.085354988899251</v>
      </c>
      <c r="G33" s="11">
        <f t="shared" si="1"/>
        <v>12.393144257431139</v>
      </c>
      <c r="H33" s="11">
        <f t="shared" si="1"/>
        <v>12.463124857107307</v>
      </c>
      <c r="I33" s="11">
        <f t="shared" si="1"/>
        <v>10.294119132878347</v>
      </c>
      <c r="J33" s="11">
        <f t="shared" si="1"/>
        <v>0.74182125640549801</v>
      </c>
      <c r="K33" s="11">
        <f t="shared" si="1"/>
        <v>0.30043288873710311</v>
      </c>
      <c r="L33" s="7"/>
      <c r="M33" s="7"/>
      <c r="N33" s="7"/>
    </row>
    <row r="34" spans="1:14" x14ac:dyDescent="0.25">
      <c r="A34" s="7" t="s">
        <v>180</v>
      </c>
      <c r="B34">
        <f>MAX(B2:B29)</f>
        <v>88.55</v>
      </c>
      <c r="C34" s="7"/>
      <c r="D34" s="7">
        <f t="shared" ref="D34:K34" si="2">MAX(D2:D29)</f>
        <v>167</v>
      </c>
      <c r="E34" s="7">
        <f t="shared" si="2"/>
        <v>94</v>
      </c>
      <c r="F34" s="11">
        <f t="shared" si="2"/>
        <v>92.879300000000001</v>
      </c>
      <c r="G34" s="11">
        <f t="shared" si="2"/>
        <v>53.265900000000002</v>
      </c>
      <c r="H34" s="11">
        <f t="shared" si="2"/>
        <v>61.820700000000002</v>
      </c>
      <c r="I34" s="11">
        <f t="shared" si="2"/>
        <v>52.245649999999998</v>
      </c>
      <c r="J34" s="11">
        <f t="shared" si="2"/>
        <v>5.2</v>
      </c>
      <c r="K34" s="11">
        <f t="shared" si="2"/>
        <v>1.9550000000000001</v>
      </c>
    </row>
    <row r="35" spans="1:14" x14ac:dyDescent="0.25">
      <c r="A35" s="7" t="s">
        <v>181</v>
      </c>
      <c r="B35">
        <f>MIN(B2:B29)</f>
        <v>49.61</v>
      </c>
      <c r="C35" s="7"/>
      <c r="D35" s="7">
        <f t="shared" ref="D35:K35" si="3">MIN(D2:D29)</f>
        <v>95</v>
      </c>
      <c r="E35" s="7">
        <f t="shared" si="3"/>
        <v>60</v>
      </c>
      <c r="F35" s="11">
        <f t="shared" si="3"/>
        <v>44.709400000000002</v>
      </c>
      <c r="G35" s="11">
        <f t="shared" si="3"/>
        <v>12.728400000000001</v>
      </c>
      <c r="H35" s="11">
        <f t="shared" si="3"/>
        <v>10.424099999999999</v>
      </c>
      <c r="I35" s="11">
        <f t="shared" si="3"/>
        <v>14.66595</v>
      </c>
      <c r="J35" s="11">
        <f t="shared" si="3"/>
        <v>2.11</v>
      </c>
      <c r="K35" s="11">
        <f t="shared" si="3"/>
        <v>0.68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"/>
  <sheetViews>
    <sheetView workbookViewId="0">
      <selection activeCell="N35" sqref="A31:N35"/>
    </sheetView>
  </sheetViews>
  <sheetFormatPr defaultRowHeight="15" x14ac:dyDescent="0.25"/>
  <cols>
    <col min="1" max="1" width="15.85546875" customWidth="1"/>
    <col min="2" max="2" width="11.5703125" style="2" customWidth="1"/>
    <col min="3" max="3" width="11.5703125" customWidth="1"/>
    <col min="4" max="4" width="9.140625" style="7"/>
    <col min="6" max="6" width="9.85546875" customWidth="1"/>
    <col min="7" max="9" width="12.140625" customWidth="1"/>
    <col min="10" max="11" width="17.28515625" style="7" customWidth="1"/>
    <col min="14" max="14" width="15.42578125" customWidth="1"/>
  </cols>
  <sheetData>
    <row r="1" spans="1:14" x14ac:dyDescent="0.25">
      <c r="A1" s="10" t="s">
        <v>28</v>
      </c>
      <c r="B1" s="8" t="s">
        <v>162</v>
      </c>
      <c r="C1" s="10" t="s">
        <v>169</v>
      </c>
      <c r="D1" s="8" t="s">
        <v>167</v>
      </c>
      <c r="E1" s="8" t="s">
        <v>168</v>
      </c>
      <c r="F1" s="10" t="s">
        <v>174</v>
      </c>
      <c r="G1" s="8" t="s">
        <v>29</v>
      </c>
      <c r="H1" s="8" t="s">
        <v>30</v>
      </c>
      <c r="I1" s="8" t="s">
        <v>31</v>
      </c>
      <c r="J1" s="8" t="s">
        <v>163</v>
      </c>
      <c r="K1" s="10" t="s">
        <v>164</v>
      </c>
      <c r="L1" s="8" t="s">
        <v>172</v>
      </c>
      <c r="M1" s="8" t="s">
        <v>173</v>
      </c>
      <c r="N1" s="10" t="s">
        <v>175</v>
      </c>
    </row>
    <row r="2" spans="1:14" x14ac:dyDescent="0.25">
      <c r="A2" s="9" t="s">
        <v>34</v>
      </c>
      <c r="B2" s="3">
        <v>62.76</v>
      </c>
      <c r="C2" s="9" t="s">
        <v>170</v>
      </c>
      <c r="D2" s="7">
        <v>121</v>
      </c>
      <c r="E2" s="7">
        <v>74</v>
      </c>
      <c r="F2" s="9">
        <v>55.4529</v>
      </c>
      <c r="G2">
        <v>27.581900000000001</v>
      </c>
      <c r="H2">
        <v>27.686900000000001</v>
      </c>
      <c r="I2">
        <v>27.634399999999999</v>
      </c>
      <c r="J2" s="7">
        <v>3.74</v>
      </c>
      <c r="K2" s="9">
        <v>1.1200000000000001</v>
      </c>
      <c r="L2" s="7">
        <v>3</v>
      </c>
      <c r="M2" s="7">
        <v>4</v>
      </c>
      <c r="N2" s="9">
        <v>0</v>
      </c>
    </row>
    <row r="3" spans="1:14" x14ac:dyDescent="0.25">
      <c r="A3" s="9" t="s">
        <v>36</v>
      </c>
      <c r="B3" s="3">
        <v>59.66</v>
      </c>
      <c r="C3" s="9" t="s">
        <v>171</v>
      </c>
      <c r="D3" s="7">
        <v>130</v>
      </c>
      <c r="E3" s="7">
        <v>89</v>
      </c>
      <c r="F3" s="9">
        <v>71.428600000000003</v>
      </c>
      <c r="G3">
        <v>17.145</v>
      </c>
      <c r="H3">
        <v>20.784800000000001</v>
      </c>
      <c r="I3">
        <v>18.9649</v>
      </c>
      <c r="J3" s="7">
        <v>4.0999999999999996</v>
      </c>
      <c r="K3" s="9">
        <v>1</v>
      </c>
      <c r="L3" s="7">
        <v>3</v>
      </c>
      <c r="M3" s="7">
        <v>3</v>
      </c>
      <c r="N3" s="9">
        <v>0</v>
      </c>
    </row>
    <row r="4" spans="1:14" x14ac:dyDescent="0.25">
      <c r="A4" s="9" t="s">
        <v>37</v>
      </c>
      <c r="B4" s="3">
        <v>54.12</v>
      </c>
      <c r="C4" s="9" t="s">
        <v>170</v>
      </c>
      <c r="D4" s="7">
        <v>143</v>
      </c>
      <c r="E4" s="7">
        <v>88</v>
      </c>
      <c r="F4" s="9">
        <v>56.390999999999998</v>
      </c>
      <c r="G4">
        <v>28.2271</v>
      </c>
      <c r="H4">
        <v>20.3674</v>
      </c>
      <c r="I4">
        <v>24.297249999999998</v>
      </c>
      <c r="J4" s="7">
        <v>4.4349999999999996</v>
      </c>
      <c r="K4" s="9">
        <v>1.155</v>
      </c>
      <c r="L4" s="7">
        <v>3</v>
      </c>
      <c r="M4" s="7">
        <v>3</v>
      </c>
      <c r="N4" s="9">
        <v>1</v>
      </c>
    </row>
    <row r="5" spans="1:14" x14ac:dyDescent="0.25">
      <c r="A5" s="9" t="s">
        <v>38</v>
      </c>
      <c r="B5" s="3">
        <v>67.52</v>
      </c>
      <c r="C5" s="9" t="s">
        <v>171</v>
      </c>
      <c r="D5" s="7">
        <v>147</v>
      </c>
      <c r="E5" s="7">
        <v>81</v>
      </c>
      <c r="F5" s="9">
        <v>39.682499999999997</v>
      </c>
      <c r="G5">
        <v>16.266100000000002</v>
      </c>
      <c r="H5">
        <v>24.978899999999999</v>
      </c>
      <c r="I5">
        <v>20.622499999999999</v>
      </c>
      <c r="J5" s="7">
        <v>3.7800000000000002</v>
      </c>
      <c r="K5" s="9">
        <v>1.21</v>
      </c>
      <c r="L5" s="7">
        <v>3</v>
      </c>
      <c r="M5" s="7">
        <v>3</v>
      </c>
      <c r="N5" s="9">
        <v>0</v>
      </c>
    </row>
    <row r="6" spans="1:14" x14ac:dyDescent="0.25">
      <c r="A6" s="9" t="s">
        <v>40</v>
      </c>
      <c r="B6" s="3">
        <v>78.06</v>
      </c>
      <c r="C6" s="9" t="s">
        <v>170</v>
      </c>
      <c r="D6" s="7">
        <v>126</v>
      </c>
      <c r="E6" s="7">
        <v>81</v>
      </c>
      <c r="F6" s="9">
        <v>59.055100000000003</v>
      </c>
      <c r="G6">
        <v>5.3331999999999997</v>
      </c>
      <c r="H6">
        <v>31.060400000000001</v>
      </c>
      <c r="I6">
        <v>18.1968</v>
      </c>
      <c r="J6" s="7">
        <v>2.7349999999999999</v>
      </c>
      <c r="K6" s="9">
        <v>1.25</v>
      </c>
      <c r="L6" s="7">
        <v>3</v>
      </c>
      <c r="M6" s="7">
        <v>4</v>
      </c>
      <c r="N6" s="9">
        <v>0</v>
      </c>
    </row>
    <row r="7" spans="1:14" x14ac:dyDescent="0.25">
      <c r="A7" s="9" t="s">
        <v>41</v>
      </c>
      <c r="B7" s="3">
        <v>84.33</v>
      </c>
      <c r="C7" s="9"/>
      <c r="F7" s="9">
        <v>62.893099999999997</v>
      </c>
      <c r="G7">
        <v>19.254100000000001</v>
      </c>
      <c r="H7">
        <v>4.8137999999999996</v>
      </c>
      <c r="I7">
        <v>12.033950000000001</v>
      </c>
      <c r="J7" s="7">
        <v>2.77</v>
      </c>
      <c r="K7" s="9">
        <v>1.07</v>
      </c>
      <c r="L7" s="7">
        <v>3</v>
      </c>
      <c r="M7" s="7">
        <v>3</v>
      </c>
      <c r="N7" s="9">
        <v>1</v>
      </c>
    </row>
    <row r="8" spans="1:14" x14ac:dyDescent="0.25">
      <c r="A8" s="9" t="s">
        <v>42</v>
      </c>
      <c r="B8" s="3">
        <v>49.85</v>
      </c>
      <c r="C8" s="9" t="s">
        <v>170</v>
      </c>
      <c r="D8" s="7">
        <v>127</v>
      </c>
      <c r="E8" s="7">
        <v>83</v>
      </c>
      <c r="F8" s="9">
        <v>63.5593</v>
      </c>
      <c r="G8">
        <v>19.887499999999999</v>
      </c>
      <c r="H8">
        <v>32.169899999999998</v>
      </c>
      <c r="I8">
        <v>26.028700000000001</v>
      </c>
      <c r="J8" s="7">
        <v>4.01</v>
      </c>
      <c r="K8" s="9">
        <v>0.93499999999999994</v>
      </c>
      <c r="L8" s="7">
        <v>2</v>
      </c>
      <c r="M8" s="7">
        <v>3</v>
      </c>
      <c r="N8" s="9">
        <v>1</v>
      </c>
    </row>
    <row r="9" spans="1:14" x14ac:dyDescent="0.25">
      <c r="A9" s="9" t="s">
        <v>43</v>
      </c>
      <c r="B9" s="3">
        <v>65.62</v>
      </c>
      <c r="C9" s="9" t="s">
        <v>170</v>
      </c>
      <c r="D9" s="7">
        <v>145</v>
      </c>
      <c r="E9" s="7">
        <v>86</v>
      </c>
      <c r="F9" s="9">
        <v>64.102599999999995</v>
      </c>
      <c r="G9">
        <v>13.873200000000001</v>
      </c>
      <c r="H9">
        <v>6.3986000000000001</v>
      </c>
      <c r="I9">
        <v>10.135899999999999</v>
      </c>
      <c r="J9" s="7">
        <v>3.1850000000000001</v>
      </c>
      <c r="K9" s="9">
        <v>1.02</v>
      </c>
      <c r="L9" s="7">
        <v>3</v>
      </c>
      <c r="M9" s="7">
        <v>4</v>
      </c>
      <c r="N9" s="9">
        <v>1</v>
      </c>
    </row>
    <row r="10" spans="1:14" x14ac:dyDescent="0.25">
      <c r="A10" s="9" t="s">
        <v>44</v>
      </c>
      <c r="B10" s="3">
        <v>87.16</v>
      </c>
      <c r="C10" s="9" t="s">
        <v>170</v>
      </c>
      <c r="D10" s="7">
        <v>99</v>
      </c>
      <c r="E10" s="7">
        <v>62</v>
      </c>
      <c r="F10" s="9">
        <v>62.761499999999998</v>
      </c>
      <c r="G10">
        <v>29.940899999999999</v>
      </c>
      <c r="H10">
        <v>24.875399999999999</v>
      </c>
      <c r="I10">
        <v>27.408149999999999</v>
      </c>
      <c r="J10" s="7">
        <v>3.6399999999999997</v>
      </c>
      <c r="K10" s="9">
        <v>1.3025</v>
      </c>
      <c r="L10" s="7">
        <v>2</v>
      </c>
      <c r="M10" s="7">
        <v>3</v>
      </c>
      <c r="N10" s="9">
        <v>1</v>
      </c>
    </row>
    <row r="11" spans="1:14" x14ac:dyDescent="0.25">
      <c r="A11" s="9" t="s">
        <v>45</v>
      </c>
      <c r="B11" s="3">
        <v>67.64</v>
      </c>
      <c r="C11" s="9" t="s">
        <v>171</v>
      </c>
      <c r="D11" s="7">
        <v>136</v>
      </c>
      <c r="E11" s="7">
        <v>83</v>
      </c>
      <c r="F11" s="9">
        <v>69.930099999999996</v>
      </c>
      <c r="G11">
        <v>41.441499999999998</v>
      </c>
      <c r="H11">
        <v>10.4872</v>
      </c>
      <c r="I11">
        <v>25.96435</v>
      </c>
      <c r="J11" s="7">
        <v>3.2050000000000001</v>
      </c>
      <c r="K11" s="9">
        <v>0.9</v>
      </c>
      <c r="L11" s="7">
        <v>3</v>
      </c>
      <c r="M11" s="7">
        <v>3</v>
      </c>
      <c r="N11" s="9">
        <v>0</v>
      </c>
    </row>
    <row r="12" spans="1:14" x14ac:dyDescent="0.25">
      <c r="A12" s="9" t="s">
        <v>47</v>
      </c>
      <c r="B12" s="3">
        <v>77.31</v>
      </c>
      <c r="C12" s="9" t="s">
        <v>171</v>
      </c>
      <c r="D12" s="7">
        <v>152</v>
      </c>
      <c r="E12" s="7">
        <v>78</v>
      </c>
      <c r="F12" s="9">
        <v>84.2697</v>
      </c>
      <c r="G12">
        <v>13.9336</v>
      </c>
      <c r="H12">
        <v>24.604500000000002</v>
      </c>
      <c r="I12">
        <v>19.26905</v>
      </c>
      <c r="J12" s="7">
        <v>4.2149999999999999</v>
      </c>
      <c r="K12" s="9">
        <v>1.05</v>
      </c>
      <c r="L12" s="7">
        <v>3</v>
      </c>
      <c r="M12" s="7">
        <v>4</v>
      </c>
      <c r="N12" s="9">
        <v>0</v>
      </c>
    </row>
    <row r="13" spans="1:14" x14ac:dyDescent="0.25">
      <c r="A13" s="9" t="s">
        <v>48</v>
      </c>
      <c r="B13" s="3">
        <v>62.94</v>
      </c>
      <c r="C13" s="9" t="s">
        <v>171</v>
      </c>
      <c r="D13" s="7">
        <v>125</v>
      </c>
      <c r="E13" s="7">
        <v>79</v>
      </c>
      <c r="F13" s="9">
        <v>62.370100000000001</v>
      </c>
      <c r="G13">
        <v>17.1401</v>
      </c>
      <c r="H13">
        <v>18.2591</v>
      </c>
      <c r="I13">
        <v>17.6996</v>
      </c>
      <c r="J13" s="7">
        <v>2.94</v>
      </c>
      <c r="K13" s="9">
        <v>1.1800000000000002</v>
      </c>
      <c r="L13" s="7">
        <v>3</v>
      </c>
      <c r="M13" s="7">
        <v>3</v>
      </c>
      <c r="N13" s="9">
        <v>0</v>
      </c>
    </row>
    <row r="14" spans="1:14" x14ac:dyDescent="0.25">
      <c r="A14" s="9" t="s">
        <v>49</v>
      </c>
      <c r="B14" s="3">
        <v>85.92</v>
      </c>
      <c r="C14" s="9" t="s">
        <v>170</v>
      </c>
      <c r="D14" s="7">
        <v>166</v>
      </c>
      <c r="E14" s="7">
        <v>72</v>
      </c>
      <c r="F14" s="9">
        <v>55.147100000000002</v>
      </c>
      <c r="G14">
        <v>39.103000000000002</v>
      </c>
      <c r="H14">
        <v>18.5565</v>
      </c>
      <c r="I14">
        <v>28.829750000000001</v>
      </c>
      <c r="J14" s="7">
        <v>4.0199999999999996</v>
      </c>
      <c r="K14" s="9">
        <v>1.4350000000000001</v>
      </c>
      <c r="L14" s="7">
        <v>3</v>
      </c>
      <c r="M14" s="7">
        <v>3</v>
      </c>
      <c r="N14" s="9">
        <v>0</v>
      </c>
    </row>
    <row r="15" spans="1:14" x14ac:dyDescent="0.25">
      <c r="A15" s="9" t="s">
        <v>50</v>
      </c>
      <c r="B15" s="3">
        <v>78.34</v>
      </c>
      <c r="C15" s="9" t="s">
        <v>171</v>
      </c>
      <c r="D15" s="7">
        <v>129</v>
      </c>
      <c r="E15" s="7">
        <v>73</v>
      </c>
      <c r="F15" s="9">
        <v>50.167200000000001</v>
      </c>
      <c r="H15">
        <v>26.647500000000001</v>
      </c>
      <c r="I15">
        <v>26.647500000000001</v>
      </c>
      <c r="J15" s="7">
        <v>3.24</v>
      </c>
      <c r="K15" s="9">
        <v>1.24</v>
      </c>
      <c r="L15" s="7">
        <v>2</v>
      </c>
      <c r="M15" s="7">
        <v>3</v>
      </c>
      <c r="N15" s="9">
        <v>0</v>
      </c>
    </row>
    <row r="16" spans="1:14" x14ac:dyDescent="0.25">
      <c r="A16" s="9" t="s">
        <v>51</v>
      </c>
      <c r="B16" s="3">
        <v>81.680000000000007</v>
      </c>
      <c r="C16" s="9" t="s">
        <v>171</v>
      </c>
      <c r="D16" s="7">
        <v>144</v>
      </c>
      <c r="E16" s="7">
        <v>77</v>
      </c>
      <c r="F16" s="9">
        <v>66.225200000000001</v>
      </c>
      <c r="G16">
        <v>20.206499999999998</v>
      </c>
      <c r="H16">
        <v>30.657499999999999</v>
      </c>
      <c r="I16">
        <v>25.431999999999999</v>
      </c>
      <c r="J16" s="7">
        <v>3.0199999999999996</v>
      </c>
      <c r="K16" s="9">
        <v>1.3599999999999999</v>
      </c>
      <c r="L16" s="7"/>
      <c r="M16" s="7"/>
      <c r="N16" s="9">
        <v>1</v>
      </c>
    </row>
    <row r="17" spans="1:14" x14ac:dyDescent="0.25">
      <c r="A17" s="9" t="s">
        <v>52</v>
      </c>
      <c r="B17" s="3">
        <v>81.8</v>
      </c>
      <c r="C17" s="9" t="s">
        <v>171</v>
      </c>
      <c r="D17" s="7">
        <v>132</v>
      </c>
      <c r="E17" s="7">
        <v>71</v>
      </c>
      <c r="F17" s="9">
        <v>66.225200000000001</v>
      </c>
      <c r="G17">
        <v>52.933399999999999</v>
      </c>
      <c r="H17">
        <v>27.706399999999999</v>
      </c>
      <c r="I17">
        <v>40.319899999999997</v>
      </c>
      <c r="J17" s="7">
        <v>3.04</v>
      </c>
      <c r="K17" s="9">
        <v>1.5699999999999998</v>
      </c>
      <c r="L17" s="7"/>
      <c r="M17" s="7"/>
      <c r="N17" s="9">
        <v>1</v>
      </c>
    </row>
    <row r="18" spans="1:14" x14ac:dyDescent="0.25">
      <c r="A18" s="9" t="s">
        <v>53</v>
      </c>
      <c r="B18" s="3">
        <v>74.819999999999993</v>
      </c>
      <c r="C18" s="9" t="s">
        <v>170</v>
      </c>
      <c r="D18" s="7">
        <v>119</v>
      </c>
      <c r="E18" s="7">
        <v>75</v>
      </c>
      <c r="F18" s="9">
        <v>48</v>
      </c>
      <c r="G18">
        <v>19.4512</v>
      </c>
      <c r="H18">
        <v>18.883700000000001</v>
      </c>
      <c r="I18">
        <v>19.167449999999999</v>
      </c>
      <c r="J18" s="7">
        <v>3.9800000000000004</v>
      </c>
      <c r="K18" s="9">
        <v>1.1399999999999999</v>
      </c>
      <c r="L18" s="7"/>
      <c r="M18" s="7"/>
      <c r="N18" s="9">
        <v>0</v>
      </c>
    </row>
    <row r="19" spans="1:14" x14ac:dyDescent="0.25">
      <c r="A19" s="9" t="s">
        <v>54</v>
      </c>
      <c r="B19" s="3">
        <v>66.64</v>
      </c>
      <c r="C19" s="9" t="s">
        <v>171</v>
      </c>
      <c r="D19" s="7">
        <v>124</v>
      </c>
      <c r="E19" s="7">
        <v>76</v>
      </c>
      <c r="F19" s="9">
        <v>51.7241</v>
      </c>
      <c r="G19">
        <v>31.464300000000001</v>
      </c>
      <c r="H19">
        <v>27.0182</v>
      </c>
      <c r="I19">
        <v>29.241250000000001</v>
      </c>
      <c r="J19" s="7">
        <v>3.57</v>
      </c>
      <c r="K19" s="9">
        <v>1.1400000000000001</v>
      </c>
      <c r="L19" s="7"/>
      <c r="M19" s="7"/>
      <c r="N19" s="9">
        <v>0</v>
      </c>
    </row>
    <row r="20" spans="1:14" x14ac:dyDescent="0.25">
      <c r="A20" s="9" t="s">
        <v>55</v>
      </c>
      <c r="B20" s="3">
        <v>75.66</v>
      </c>
      <c r="C20" s="9" t="s">
        <v>170</v>
      </c>
      <c r="D20" s="7">
        <v>128</v>
      </c>
      <c r="E20" s="7">
        <v>79</v>
      </c>
      <c r="F20" s="9">
        <v>43.923900000000003</v>
      </c>
      <c r="G20">
        <v>24.220099999999999</v>
      </c>
      <c r="H20">
        <v>24.425599999999999</v>
      </c>
      <c r="I20">
        <v>24.322849999999999</v>
      </c>
      <c r="J20" s="7">
        <v>3.09</v>
      </c>
      <c r="K20" s="9">
        <v>1.2849999999999999</v>
      </c>
      <c r="L20" s="7"/>
      <c r="M20" s="7"/>
      <c r="N20" s="9">
        <v>1</v>
      </c>
    </row>
    <row r="21" spans="1:14" x14ac:dyDescent="0.25">
      <c r="A21" s="9" t="s">
        <v>56</v>
      </c>
      <c r="B21" s="3">
        <v>70.33</v>
      </c>
      <c r="C21" s="9" t="s">
        <v>170</v>
      </c>
      <c r="D21" s="7">
        <v>160</v>
      </c>
      <c r="E21" s="7">
        <v>90</v>
      </c>
      <c r="F21" s="9">
        <v>49.505000000000003</v>
      </c>
      <c r="G21">
        <v>20.232299999999999</v>
      </c>
      <c r="H21">
        <v>43.626800000000003</v>
      </c>
      <c r="I21">
        <v>31.929549999999999</v>
      </c>
      <c r="J21" s="7">
        <v>4.0750000000000002</v>
      </c>
      <c r="K21" s="9">
        <v>1.375</v>
      </c>
      <c r="L21" s="7"/>
      <c r="M21" s="7"/>
      <c r="N21" s="9">
        <v>0</v>
      </c>
    </row>
    <row r="22" spans="1:14" x14ac:dyDescent="0.25">
      <c r="A22" s="9" t="s">
        <v>57</v>
      </c>
      <c r="B22" s="3">
        <v>75.33</v>
      </c>
      <c r="C22" s="9" t="s">
        <v>171</v>
      </c>
      <c r="D22" s="7">
        <v>153</v>
      </c>
      <c r="E22" s="7">
        <v>79</v>
      </c>
      <c r="F22" s="9">
        <v>51.2821</v>
      </c>
      <c r="G22">
        <v>28.1144</v>
      </c>
      <c r="H22">
        <v>11.7065</v>
      </c>
      <c r="I22">
        <v>19.910450000000001</v>
      </c>
      <c r="J22" s="7">
        <v>2.71</v>
      </c>
      <c r="K22" s="9">
        <v>1.24</v>
      </c>
      <c r="L22" s="7"/>
      <c r="M22" s="7"/>
      <c r="N22" s="9">
        <v>0</v>
      </c>
    </row>
    <row r="23" spans="1:14" x14ac:dyDescent="0.25">
      <c r="A23" s="9" t="s">
        <v>58</v>
      </c>
      <c r="B23" s="3">
        <v>76.69</v>
      </c>
      <c r="C23" s="9" t="s">
        <v>170</v>
      </c>
      <c r="D23" s="7">
        <v>119</v>
      </c>
      <c r="E23" s="7">
        <v>74</v>
      </c>
      <c r="F23" s="9">
        <v>57.034199999999998</v>
      </c>
      <c r="G23">
        <v>30.139399999999998</v>
      </c>
      <c r="H23">
        <v>13.9415</v>
      </c>
      <c r="I23">
        <v>22.04045</v>
      </c>
      <c r="J23" s="7">
        <v>3.6100000000000003</v>
      </c>
      <c r="K23" s="12">
        <v>0.95065422000000011</v>
      </c>
      <c r="L23" s="7"/>
      <c r="M23" s="7"/>
      <c r="N23" s="9">
        <v>1</v>
      </c>
    </row>
    <row r="24" spans="1:14" x14ac:dyDescent="0.25">
      <c r="A24" s="9" t="s">
        <v>59</v>
      </c>
      <c r="B24" s="3">
        <v>72.349999999999994</v>
      </c>
      <c r="C24" s="9" t="s">
        <v>170</v>
      </c>
      <c r="D24" s="7">
        <v>102</v>
      </c>
      <c r="E24" s="7">
        <v>69</v>
      </c>
      <c r="F24" s="9">
        <v>64.516099999999994</v>
      </c>
      <c r="G24">
        <v>43.938800000000001</v>
      </c>
      <c r="H24">
        <v>19.517600000000002</v>
      </c>
      <c r="I24">
        <v>31.728200000000001</v>
      </c>
      <c r="J24" s="7">
        <v>4.25</v>
      </c>
      <c r="K24" s="9">
        <v>1.4450000000000001</v>
      </c>
      <c r="L24" s="7"/>
      <c r="M24" s="7"/>
      <c r="N24" s="9">
        <v>0</v>
      </c>
    </row>
    <row r="25" spans="1:14" x14ac:dyDescent="0.25">
      <c r="A25" s="9" t="s">
        <v>60</v>
      </c>
      <c r="B25" s="3">
        <v>77.760000000000005</v>
      </c>
      <c r="C25" s="9" t="s">
        <v>171</v>
      </c>
      <c r="D25" s="7">
        <v>136</v>
      </c>
      <c r="E25" s="7">
        <v>84</v>
      </c>
      <c r="F25" s="9">
        <v>70.257599999999996</v>
      </c>
      <c r="G25">
        <v>7.6772999999999998</v>
      </c>
      <c r="H25">
        <v>62.625900000000001</v>
      </c>
      <c r="I25">
        <v>35.151600000000002</v>
      </c>
      <c r="J25" s="7">
        <v>2.6950000000000003</v>
      </c>
      <c r="K25" s="9">
        <v>1.115</v>
      </c>
      <c r="L25" s="7">
        <v>3</v>
      </c>
      <c r="M25" s="7">
        <v>4</v>
      </c>
      <c r="N25" s="9">
        <v>1</v>
      </c>
    </row>
    <row r="26" spans="1:14" x14ac:dyDescent="0.25">
      <c r="A26" s="9" t="s">
        <v>61</v>
      </c>
      <c r="B26" s="3">
        <v>72.040000000000006</v>
      </c>
      <c r="C26" s="9" t="s">
        <v>171</v>
      </c>
      <c r="D26" s="7">
        <v>128</v>
      </c>
      <c r="E26" s="7">
        <v>76</v>
      </c>
      <c r="F26" s="9">
        <v>55.970100000000002</v>
      </c>
      <c r="G26">
        <v>37.186900000000001</v>
      </c>
      <c r="H26">
        <v>12.248100000000001</v>
      </c>
      <c r="I26">
        <v>24.717500000000001</v>
      </c>
      <c r="J26" s="7">
        <v>2.5999999999999996</v>
      </c>
      <c r="K26" s="9">
        <v>1.72</v>
      </c>
      <c r="L26" s="7">
        <v>3</v>
      </c>
      <c r="M26" s="7">
        <v>4</v>
      </c>
      <c r="N26" s="9">
        <v>1</v>
      </c>
    </row>
    <row r="27" spans="1:14" x14ac:dyDescent="0.25">
      <c r="A27" s="9" t="s">
        <v>62</v>
      </c>
      <c r="B27" s="3">
        <v>76.81</v>
      </c>
      <c r="C27" s="9" t="s">
        <v>171</v>
      </c>
      <c r="D27" s="7">
        <v>132</v>
      </c>
      <c r="E27" s="7">
        <v>71</v>
      </c>
      <c r="F27" s="9">
        <v>49.668900000000001</v>
      </c>
      <c r="G27">
        <v>22.2439</v>
      </c>
      <c r="I27">
        <v>22.2439</v>
      </c>
      <c r="J27" s="7">
        <v>2.42</v>
      </c>
      <c r="K27" s="9">
        <v>1.3149999999999999</v>
      </c>
      <c r="L27" s="7">
        <v>3</v>
      </c>
      <c r="M27" s="7">
        <v>3</v>
      </c>
      <c r="N27" s="9">
        <v>1</v>
      </c>
    </row>
    <row r="28" spans="1:14" x14ac:dyDescent="0.25">
      <c r="A28" s="9" t="s">
        <v>63</v>
      </c>
      <c r="B28" s="3">
        <v>73.91</v>
      </c>
      <c r="C28" s="9" t="s">
        <v>170</v>
      </c>
      <c r="D28" s="7">
        <v>126</v>
      </c>
      <c r="E28" s="7">
        <v>68</v>
      </c>
      <c r="F28" s="9">
        <v>58.479500000000002</v>
      </c>
      <c r="G28">
        <v>18.485800000000001</v>
      </c>
      <c r="H28">
        <v>6.7983000000000002</v>
      </c>
      <c r="I28">
        <v>12.642049999999999</v>
      </c>
      <c r="J28" s="7">
        <v>3.2749999999999999</v>
      </c>
      <c r="K28" s="9">
        <v>1.2050000000000001</v>
      </c>
      <c r="L28" s="7">
        <v>3</v>
      </c>
      <c r="M28" s="7">
        <v>3</v>
      </c>
      <c r="N28" s="9">
        <v>1</v>
      </c>
    </row>
    <row r="29" spans="1:14" x14ac:dyDescent="0.25">
      <c r="A29" s="9" t="s">
        <v>64</v>
      </c>
      <c r="B29" s="3">
        <v>68.739999999999995</v>
      </c>
      <c r="C29" s="9" t="s">
        <v>171</v>
      </c>
      <c r="D29" s="7">
        <v>116</v>
      </c>
      <c r="E29" s="7">
        <v>74</v>
      </c>
      <c r="F29" s="9">
        <v>61.4754</v>
      </c>
      <c r="G29">
        <v>8.1964000000000006</v>
      </c>
      <c r="H29">
        <v>24.174800000000001</v>
      </c>
      <c r="I29">
        <v>16.185600000000001</v>
      </c>
      <c r="J29" s="7">
        <v>3.5049999999999999</v>
      </c>
      <c r="K29" s="9">
        <v>1.23</v>
      </c>
      <c r="L29" s="7">
        <v>3</v>
      </c>
      <c r="M29" s="7">
        <v>4</v>
      </c>
      <c r="N29" s="9">
        <v>1</v>
      </c>
    </row>
    <row r="30" spans="1:14" x14ac:dyDescent="0.25">
      <c r="A30" s="9" t="s">
        <v>65</v>
      </c>
      <c r="B30" s="3">
        <v>85.32</v>
      </c>
      <c r="C30" s="9" t="s">
        <v>170</v>
      </c>
      <c r="D30" s="7">
        <v>99</v>
      </c>
      <c r="E30" s="7">
        <v>62</v>
      </c>
      <c r="F30" s="9"/>
      <c r="G30">
        <v>25.621400000000001</v>
      </c>
      <c r="I30">
        <v>25.621400000000001</v>
      </c>
      <c r="J30" s="7">
        <v>2.6399999999999997</v>
      </c>
      <c r="K30" s="9">
        <v>1.33</v>
      </c>
      <c r="L30" s="7">
        <v>2</v>
      </c>
      <c r="M30" s="7">
        <v>3</v>
      </c>
      <c r="N30" s="9">
        <v>1</v>
      </c>
    </row>
    <row r="31" spans="1:14" x14ac:dyDescent="0.25">
      <c r="A31" s="9" t="s">
        <v>32</v>
      </c>
      <c r="B31" s="7">
        <v>92.29</v>
      </c>
      <c r="C31" s="9" t="s">
        <v>171</v>
      </c>
      <c r="D31" s="7">
        <v>162</v>
      </c>
      <c r="E31" s="7">
        <v>88</v>
      </c>
      <c r="F31" s="9">
        <v>55.970100000000002</v>
      </c>
      <c r="G31" s="7">
        <v>21.462700000000002</v>
      </c>
      <c r="H31" s="7">
        <v>17.959299999999999</v>
      </c>
      <c r="I31" s="7">
        <v>19.710999999999999</v>
      </c>
      <c r="J31" s="7">
        <v>2.31</v>
      </c>
      <c r="K31" s="9">
        <v>1.79</v>
      </c>
      <c r="L31" s="7">
        <v>3</v>
      </c>
      <c r="M31" s="7">
        <v>4</v>
      </c>
      <c r="N31" s="9">
        <v>0</v>
      </c>
    </row>
    <row r="32" spans="1:14" x14ac:dyDescent="0.25">
      <c r="A32" s="9" t="s">
        <v>33</v>
      </c>
      <c r="B32" s="7">
        <v>79.5</v>
      </c>
      <c r="C32" s="9" t="s">
        <v>170</v>
      </c>
      <c r="D32" s="7">
        <v>123</v>
      </c>
      <c r="E32" s="7">
        <v>79</v>
      </c>
      <c r="F32" s="9">
        <v>52.447600000000001</v>
      </c>
      <c r="G32" s="7">
        <v>14.553900000000001</v>
      </c>
      <c r="H32" s="7">
        <v>29.899000000000001</v>
      </c>
      <c r="I32" s="7">
        <v>22.22645</v>
      </c>
      <c r="J32" s="7">
        <v>3.7649999999999997</v>
      </c>
      <c r="K32" s="9">
        <v>1.1099999999999999</v>
      </c>
      <c r="L32" s="7">
        <v>3</v>
      </c>
      <c r="M32" s="7">
        <v>3</v>
      </c>
      <c r="N32" s="9">
        <v>0</v>
      </c>
    </row>
    <row r="33" spans="1:14" x14ac:dyDescent="0.25">
      <c r="A33" s="9" t="s">
        <v>35</v>
      </c>
      <c r="B33" s="7">
        <v>77.12</v>
      </c>
      <c r="C33" s="9" t="s">
        <v>171</v>
      </c>
      <c r="D33" s="7">
        <v>123</v>
      </c>
      <c r="E33" s="7">
        <v>76</v>
      </c>
      <c r="F33" s="9">
        <v>58.027099999999997</v>
      </c>
      <c r="G33" s="7">
        <v>26.871099999999998</v>
      </c>
      <c r="H33" s="7">
        <v>62.401800000000001</v>
      </c>
      <c r="I33" s="7">
        <v>44.636450000000004</v>
      </c>
      <c r="J33" s="7">
        <v>2.33</v>
      </c>
      <c r="K33" s="9">
        <v>1.4100000000000001</v>
      </c>
      <c r="L33" s="7">
        <v>3</v>
      </c>
      <c r="M33" s="7">
        <v>3</v>
      </c>
      <c r="N33" s="9">
        <v>1</v>
      </c>
    </row>
    <row r="34" spans="1:14" ht="18" customHeight="1" x14ac:dyDescent="0.25">
      <c r="A34" s="9" t="s">
        <v>39</v>
      </c>
      <c r="B34" s="7">
        <v>60.7</v>
      </c>
      <c r="C34" s="9" t="s">
        <v>171</v>
      </c>
      <c r="D34" s="7">
        <v>115</v>
      </c>
      <c r="E34" s="7">
        <v>80</v>
      </c>
      <c r="F34" s="9">
        <v>55.4529</v>
      </c>
      <c r="G34" s="7">
        <v>13.7903</v>
      </c>
      <c r="H34" s="7">
        <v>22.252400000000002</v>
      </c>
      <c r="I34" s="7">
        <v>18.021350000000002</v>
      </c>
      <c r="J34" s="7">
        <v>3.4699999999999998</v>
      </c>
      <c r="K34" s="9">
        <v>1.1499999999999999</v>
      </c>
      <c r="L34" s="7">
        <v>3</v>
      </c>
      <c r="M34" s="7">
        <v>4</v>
      </c>
      <c r="N34" s="9">
        <v>1</v>
      </c>
    </row>
    <row r="35" spans="1:14" x14ac:dyDescent="0.25">
      <c r="A35" s="10" t="s">
        <v>46</v>
      </c>
      <c r="B35" s="8">
        <v>65.19</v>
      </c>
      <c r="C35" s="10" t="s">
        <v>170</v>
      </c>
      <c r="D35" s="8">
        <v>119</v>
      </c>
      <c r="E35" s="8">
        <v>74</v>
      </c>
      <c r="F35" s="10">
        <v>51.7241</v>
      </c>
      <c r="G35" s="8">
        <v>37.626399999999997</v>
      </c>
      <c r="H35" s="8">
        <v>24.841200000000001</v>
      </c>
      <c r="I35" s="8">
        <v>31.233799999999999</v>
      </c>
      <c r="J35" s="8">
        <v>4.3249999999999993</v>
      </c>
      <c r="K35" s="10">
        <v>1.5049999999999999</v>
      </c>
      <c r="L35" s="8">
        <v>4</v>
      </c>
      <c r="M35" s="8">
        <v>4</v>
      </c>
      <c r="N35" s="10">
        <v>1</v>
      </c>
    </row>
    <row r="37" spans="1:14" x14ac:dyDescent="0.25">
      <c r="A37" s="14" t="str">
        <f>"# SUBJECTS= " &amp; COUNTA(A2:A35)</f>
        <v># SUBJECTS= 34</v>
      </c>
      <c r="B37" s="7"/>
      <c r="C37" s="15" t="s">
        <v>171</v>
      </c>
      <c r="E37" s="7"/>
      <c r="F37" s="7"/>
      <c r="G37" s="7"/>
      <c r="H37" s="7"/>
      <c r="I37" s="7"/>
      <c r="L37" s="7"/>
      <c r="M37" s="7"/>
      <c r="N37" s="7"/>
    </row>
    <row r="38" spans="1:14" x14ac:dyDescent="0.25">
      <c r="A38" s="7" t="s">
        <v>178</v>
      </c>
      <c r="B38" s="11">
        <f>AVERAGE(B2:B35)</f>
        <v>73.114999999999995</v>
      </c>
      <c r="C38" s="7">
        <f>COUNTIF(C2:C35,"Female")</f>
        <v>17</v>
      </c>
      <c r="D38" s="11">
        <f t="shared" ref="D38:K38" si="0">AVERAGE(D2:D35)</f>
        <v>130.4848484848485</v>
      </c>
      <c r="E38" s="11">
        <f t="shared" si="0"/>
        <v>77.303030303030297</v>
      </c>
      <c r="F38" s="11">
        <f t="shared" si="0"/>
        <v>58.336966666666655</v>
      </c>
      <c r="G38" s="11">
        <f t="shared" si="0"/>
        <v>24.04677878787879</v>
      </c>
      <c r="H38" s="11">
        <f t="shared" si="0"/>
        <v>24.136734374999996</v>
      </c>
      <c r="I38" s="11">
        <f t="shared" si="0"/>
        <v>24.124000000000002</v>
      </c>
      <c r="J38" s="11">
        <f t="shared" si="0"/>
        <v>3.3733823529411757</v>
      </c>
      <c r="K38" s="11">
        <f t="shared" si="0"/>
        <v>1.2427398299999999</v>
      </c>
      <c r="L38" s="7"/>
      <c r="M38" s="7"/>
      <c r="N38" s="7"/>
    </row>
    <row r="39" spans="1:14" x14ac:dyDescent="0.25">
      <c r="A39" s="7" t="s">
        <v>179</v>
      </c>
      <c r="B39" s="11">
        <f>_xlfn.STDEV.S(B2:B35)</f>
        <v>9.5985305851437932</v>
      </c>
      <c r="C39" s="7"/>
      <c r="D39" s="11">
        <f t="shared" ref="D39:K39" si="1">_xlfn.STDEV.S(D2:D35)</f>
        <v>16.737161520328826</v>
      </c>
      <c r="E39" s="11">
        <f t="shared" si="1"/>
        <v>6.9887626251220638</v>
      </c>
      <c r="F39" s="11">
        <f t="shared" si="1"/>
        <v>8.8538576401994469</v>
      </c>
      <c r="G39" s="11">
        <f t="shared" si="1"/>
        <v>10.98044287588044</v>
      </c>
      <c r="H39" s="11">
        <f t="shared" si="1"/>
        <v>13.090512650170133</v>
      </c>
      <c r="I39" s="11">
        <f t="shared" si="1"/>
        <v>7.4858018766437828</v>
      </c>
      <c r="J39" s="11">
        <f t="shared" si="1"/>
        <v>0.62518327081216241</v>
      </c>
      <c r="K39" s="11">
        <f t="shared" si="1"/>
        <v>0.20776749852843884</v>
      </c>
      <c r="L39" s="7"/>
      <c r="M39" s="7"/>
      <c r="N39" s="7"/>
    </row>
    <row r="40" spans="1:14" x14ac:dyDescent="0.25">
      <c r="A40" s="7" t="s">
        <v>180</v>
      </c>
      <c r="B40" s="7">
        <f>MAX(B2:B35)</f>
        <v>92.29</v>
      </c>
      <c r="C40" s="7"/>
      <c r="D40" s="7">
        <f t="shared" ref="D40:K40" si="2">MAX(D2:D35)</f>
        <v>166</v>
      </c>
      <c r="E40" s="7">
        <f t="shared" si="2"/>
        <v>90</v>
      </c>
      <c r="F40" s="11">
        <f t="shared" si="2"/>
        <v>84.2697</v>
      </c>
      <c r="G40" s="11">
        <f t="shared" si="2"/>
        <v>52.933399999999999</v>
      </c>
      <c r="H40" s="11">
        <f t="shared" si="2"/>
        <v>62.625900000000001</v>
      </c>
      <c r="I40" s="11">
        <f t="shared" si="2"/>
        <v>44.636450000000004</v>
      </c>
      <c r="J40" s="11">
        <f t="shared" si="2"/>
        <v>4.4349999999999996</v>
      </c>
      <c r="K40" s="11">
        <f t="shared" si="2"/>
        <v>1.79</v>
      </c>
      <c r="L40" s="7"/>
      <c r="M40" s="7"/>
      <c r="N40" s="7"/>
    </row>
    <row r="41" spans="1:14" x14ac:dyDescent="0.25">
      <c r="A41" s="7" t="s">
        <v>181</v>
      </c>
      <c r="B41" s="7">
        <f>MIN(B2:B35)</f>
        <v>49.85</v>
      </c>
      <c r="C41" s="7"/>
      <c r="D41" s="7">
        <f t="shared" ref="D41:K41" si="3">MIN(D2:D35)</f>
        <v>99</v>
      </c>
      <c r="E41" s="7">
        <f t="shared" si="3"/>
        <v>62</v>
      </c>
      <c r="F41" s="11">
        <f t="shared" si="3"/>
        <v>39.682499999999997</v>
      </c>
      <c r="G41" s="11">
        <f t="shared" si="3"/>
        <v>5.3331999999999997</v>
      </c>
      <c r="H41" s="11">
        <f t="shared" si="3"/>
        <v>4.8137999999999996</v>
      </c>
      <c r="I41" s="11">
        <f t="shared" si="3"/>
        <v>10.135899999999999</v>
      </c>
      <c r="J41" s="11">
        <f t="shared" si="3"/>
        <v>2.31</v>
      </c>
      <c r="K41" s="11">
        <f t="shared" si="3"/>
        <v>0.9</v>
      </c>
      <c r="L41" s="7"/>
      <c r="M41" s="7"/>
      <c r="N41" s="7"/>
    </row>
    <row r="42" spans="1:14" x14ac:dyDescent="0.25">
      <c r="A42" s="7"/>
      <c r="B42" s="7"/>
      <c r="C42" s="7"/>
      <c r="E42" s="7"/>
      <c r="F42" s="7"/>
      <c r="G42" s="7"/>
      <c r="H42" s="7"/>
      <c r="I42" s="7"/>
      <c r="L42" s="7"/>
      <c r="M42" s="7"/>
      <c r="N42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topLeftCell="A19" workbookViewId="0">
      <selection activeCell="O54" sqref="O54"/>
    </sheetView>
  </sheetViews>
  <sheetFormatPr defaultRowHeight="15" x14ac:dyDescent="0.25"/>
  <cols>
    <col min="1" max="1" width="15.85546875" customWidth="1"/>
    <col min="2" max="3" width="11.5703125" customWidth="1"/>
    <col min="4" max="4" width="9.140625" style="7"/>
    <col min="6" max="6" width="9.85546875" style="7" customWidth="1"/>
    <col min="7" max="9" width="12.140625" customWidth="1"/>
    <col min="10" max="11" width="17.28515625" customWidth="1"/>
    <col min="12" max="12" width="9.140625" style="7"/>
    <col min="14" max="14" width="15.5703125" style="7" customWidth="1"/>
  </cols>
  <sheetData>
    <row r="1" spans="1:14" x14ac:dyDescent="0.25">
      <c r="A1" s="10" t="s">
        <v>28</v>
      </c>
      <c r="B1" s="8" t="s">
        <v>162</v>
      </c>
      <c r="C1" s="10" t="s">
        <v>169</v>
      </c>
      <c r="D1" s="8" t="s">
        <v>167</v>
      </c>
      <c r="E1" s="8" t="s">
        <v>168</v>
      </c>
      <c r="F1" s="10" t="s">
        <v>174</v>
      </c>
      <c r="G1" s="8" t="s">
        <v>29</v>
      </c>
      <c r="H1" s="8" t="s">
        <v>30</v>
      </c>
      <c r="I1" s="8" t="s">
        <v>31</v>
      </c>
      <c r="J1" s="8" t="s">
        <v>163</v>
      </c>
      <c r="K1" s="10" t="s">
        <v>164</v>
      </c>
      <c r="L1" s="8" t="s">
        <v>172</v>
      </c>
      <c r="M1" s="8" t="s">
        <v>173</v>
      </c>
      <c r="N1" s="10" t="s">
        <v>175</v>
      </c>
    </row>
    <row r="2" spans="1:14" x14ac:dyDescent="0.25">
      <c r="A2" s="9" t="s">
        <v>105</v>
      </c>
      <c r="B2" s="4">
        <v>69.3</v>
      </c>
      <c r="C2" s="9" t="s">
        <v>171</v>
      </c>
      <c r="D2" s="7">
        <v>107</v>
      </c>
      <c r="E2" s="7">
        <v>67</v>
      </c>
      <c r="F2" s="9">
        <v>60</v>
      </c>
      <c r="G2">
        <v>3.4546000000000001</v>
      </c>
      <c r="H2">
        <v>38.375799999999998</v>
      </c>
      <c r="I2">
        <v>20.915199999999999</v>
      </c>
      <c r="J2">
        <v>3.9350000000000001</v>
      </c>
      <c r="K2" s="9">
        <v>1.0249999999999999</v>
      </c>
      <c r="L2" s="7">
        <v>3</v>
      </c>
      <c r="M2">
        <v>3</v>
      </c>
      <c r="N2" s="9">
        <v>0</v>
      </c>
    </row>
    <row r="3" spans="1:14" x14ac:dyDescent="0.25">
      <c r="A3" s="9" t="s">
        <v>104</v>
      </c>
      <c r="B3" s="4">
        <v>70.349999999999994</v>
      </c>
      <c r="C3" s="9" t="s">
        <v>171</v>
      </c>
      <c r="D3" s="7">
        <v>140</v>
      </c>
      <c r="E3" s="7">
        <v>80</v>
      </c>
      <c r="F3" s="9">
        <v>58.939100000000003</v>
      </c>
      <c r="G3">
        <v>10.974</v>
      </c>
      <c r="H3">
        <v>7.8829000000000002</v>
      </c>
      <c r="I3">
        <v>9.4284499999999998</v>
      </c>
      <c r="J3">
        <v>3.145</v>
      </c>
      <c r="K3" s="9">
        <v>1.385</v>
      </c>
      <c r="L3" s="7">
        <v>3</v>
      </c>
      <c r="M3">
        <v>3</v>
      </c>
      <c r="N3" s="9">
        <v>0</v>
      </c>
    </row>
    <row r="4" spans="1:14" x14ac:dyDescent="0.25">
      <c r="A4" s="9" t="s">
        <v>103</v>
      </c>
      <c r="B4" s="4">
        <v>66.91</v>
      </c>
      <c r="C4" s="9" t="s">
        <v>170</v>
      </c>
      <c r="D4" s="7">
        <v>142</v>
      </c>
      <c r="E4" s="7">
        <v>87</v>
      </c>
      <c r="F4" s="9">
        <v>74.441699999999997</v>
      </c>
      <c r="G4">
        <v>15.637600000000001</v>
      </c>
      <c r="H4">
        <v>3.7263000000000002</v>
      </c>
      <c r="I4">
        <v>9.6819500000000005</v>
      </c>
      <c r="J4">
        <v>3.9</v>
      </c>
      <c r="K4" s="9">
        <v>1.22</v>
      </c>
      <c r="L4" s="7">
        <v>3</v>
      </c>
      <c r="M4">
        <v>3</v>
      </c>
      <c r="N4" s="9">
        <v>0</v>
      </c>
    </row>
    <row r="5" spans="1:14" x14ac:dyDescent="0.25">
      <c r="A5" s="9" t="s">
        <v>102</v>
      </c>
      <c r="B5" s="4">
        <v>71.31</v>
      </c>
      <c r="C5" s="9" t="s">
        <v>170</v>
      </c>
      <c r="D5" s="7">
        <v>162</v>
      </c>
      <c r="E5" s="7">
        <v>74</v>
      </c>
      <c r="F5" s="9">
        <v>54.545499999999997</v>
      </c>
      <c r="G5">
        <v>36.79</v>
      </c>
      <c r="H5">
        <v>17.307400000000001</v>
      </c>
      <c r="I5">
        <v>27.0487</v>
      </c>
      <c r="J5">
        <v>2.2149999999999999</v>
      </c>
      <c r="K5" s="9">
        <v>1.64</v>
      </c>
      <c r="L5" s="7">
        <v>3</v>
      </c>
      <c r="M5">
        <v>3</v>
      </c>
      <c r="N5" s="9">
        <v>0</v>
      </c>
    </row>
    <row r="6" spans="1:14" x14ac:dyDescent="0.25">
      <c r="A6" s="9" t="s">
        <v>101</v>
      </c>
      <c r="B6" s="4">
        <v>77.41</v>
      </c>
      <c r="C6" s="9" t="s">
        <v>171</v>
      </c>
      <c r="D6" s="7">
        <v>136</v>
      </c>
      <c r="E6" s="7">
        <v>82</v>
      </c>
      <c r="F6" s="9">
        <v>67.264600000000002</v>
      </c>
      <c r="G6">
        <v>6.0811999999999999</v>
      </c>
      <c r="H6">
        <v>17.605</v>
      </c>
      <c r="I6">
        <v>11.8431</v>
      </c>
      <c r="J6">
        <v>3.3449999999999998</v>
      </c>
      <c r="K6" s="9">
        <v>1.23</v>
      </c>
      <c r="L6" s="7">
        <v>3</v>
      </c>
      <c r="M6">
        <v>3</v>
      </c>
      <c r="N6" s="9">
        <v>0</v>
      </c>
    </row>
    <row r="7" spans="1:14" x14ac:dyDescent="0.25">
      <c r="A7" s="9" t="s">
        <v>106</v>
      </c>
      <c r="B7" s="4">
        <v>73.739999999999995</v>
      </c>
      <c r="C7" s="9" t="s">
        <v>170</v>
      </c>
      <c r="D7" s="7">
        <v>134</v>
      </c>
      <c r="E7" s="7">
        <v>74</v>
      </c>
      <c r="F7" s="9">
        <v>55.248600000000003</v>
      </c>
      <c r="G7">
        <v>4.5717999999999996</v>
      </c>
      <c r="H7">
        <v>11.305099999999999</v>
      </c>
      <c r="I7">
        <v>7.9384499999999996</v>
      </c>
      <c r="J7">
        <v>3.96</v>
      </c>
      <c r="K7" s="9">
        <v>1.385</v>
      </c>
      <c r="L7" s="7">
        <v>3</v>
      </c>
      <c r="M7">
        <v>3</v>
      </c>
      <c r="N7" s="9">
        <v>0</v>
      </c>
    </row>
    <row r="8" spans="1:14" x14ac:dyDescent="0.25">
      <c r="A8" s="9" t="s">
        <v>100</v>
      </c>
      <c r="B8" s="4">
        <v>69.86</v>
      </c>
      <c r="C8" s="9" t="s">
        <v>171</v>
      </c>
      <c r="D8" s="7">
        <v>110</v>
      </c>
      <c r="E8" s="7">
        <v>68</v>
      </c>
      <c r="F8" s="9">
        <v>52.173900000000003</v>
      </c>
      <c r="G8">
        <v>9.9057999999999993</v>
      </c>
      <c r="H8">
        <v>9.5238999999999994</v>
      </c>
      <c r="I8">
        <v>9.7148500000000002</v>
      </c>
      <c r="J8">
        <v>3.7199999999999998</v>
      </c>
      <c r="K8" s="9">
        <v>1.56</v>
      </c>
      <c r="L8" s="7">
        <v>3</v>
      </c>
      <c r="M8">
        <v>3</v>
      </c>
      <c r="N8" s="9">
        <v>0</v>
      </c>
    </row>
    <row r="9" spans="1:14" x14ac:dyDescent="0.25">
      <c r="A9" s="9" t="s">
        <v>99</v>
      </c>
      <c r="B9" s="4">
        <v>70.31</v>
      </c>
      <c r="C9" s="9" t="s">
        <v>170</v>
      </c>
      <c r="D9" s="7">
        <v>136</v>
      </c>
      <c r="E9" s="7">
        <v>80</v>
      </c>
      <c r="F9" s="9">
        <v>64.794799999999995</v>
      </c>
      <c r="G9">
        <v>7.2276999999999996</v>
      </c>
      <c r="H9">
        <v>12.5649</v>
      </c>
      <c r="I9">
        <v>9.8963000000000001</v>
      </c>
      <c r="J9">
        <v>3.87</v>
      </c>
      <c r="K9" s="9">
        <v>1.145</v>
      </c>
      <c r="L9" s="7">
        <v>3</v>
      </c>
      <c r="M9">
        <v>3</v>
      </c>
      <c r="N9" s="9">
        <v>0</v>
      </c>
    </row>
    <row r="10" spans="1:14" x14ac:dyDescent="0.25">
      <c r="A10" s="9" t="s">
        <v>98</v>
      </c>
      <c r="B10" s="4">
        <v>73.48</v>
      </c>
      <c r="C10" s="9" t="s">
        <v>171</v>
      </c>
      <c r="D10" s="7">
        <v>156</v>
      </c>
      <c r="E10" s="7">
        <v>74</v>
      </c>
      <c r="F10" s="9">
        <v>52.631599999999999</v>
      </c>
      <c r="G10">
        <v>19.6663</v>
      </c>
      <c r="H10">
        <v>9.2446999999999999</v>
      </c>
      <c r="I10">
        <v>14.455500000000001</v>
      </c>
      <c r="J10">
        <v>3.38</v>
      </c>
      <c r="K10" s="9">
        <v>1.33</v>
      </c>
      <c r="L10" s="7">
        <v>3</v>
      </c>
      <c r="M10">
        <v>3</v>
      </c>
      <c r="N10" s="9">
        <v>0</v>
      </c>
    </row>
    <row r="11" spans="1:14" x14ac:dyDescent="0.25">
      <c r="A11" s="9" t="s">
        <v>97</v>
      </c>
      <c r="B11" s="4">
        <v>74.36</v>
      </c>
      <c r="C11" s="9" t="s">
        <v>170</v>
      </c>
      <c r="D11" s="7">
        <v>114</v>
      </c>
      <c r="E11" s="7">
        <v>64</v>
      </c>
      <c r="F11" s="9">
        <v>54.8446</v>
      </c>
      <c r="G11">
        <v>22.991199999999999</v>
      </c>
      <c r="H11">
        <v>31.7742</v>
      </c>
      <c r="I11">
        <v>27.3827</v>
      </c>
      <c r="J11">
        <v>2.6150000000000002</v>
      </c>
      <c r="K11" s="9">
        <v>1.3</v>
      </c>
      <c r="L11" s="7">
        <v>3</v>
      </c>
      <c r="M11">
        <v>3</v>
      </c>
      <c r="N11" s="9">
        <v>0</v>
      </c>
    </row>
    <row r="12" spans="1:14" x14ac:dyDescent="0.25">
      <c r="A12" s="9" t="s">
        <v>95</v>
      </c>
      <c r="B12" s="4">
        <v>65.680000000000007</v>
      </c>
      <c r="C12" s="9" t="s">
        <v>171</v>
      </c>
      <c r="D12" s="7">
        <v>121</v>
      </c>
      <c r="E12" s="7">
        <v>74</v>
      </c>
      <c r="F12" s="9">
        <v>55.4529</v>
      </c>
      <c r="G12">
        <v>15.3962</v>
      </c>
      <c r="H12">
        <v>7.3219000000000003</v>
      </c>
      <c r="I12">
        <v>11.35905</v>
      </c>
      <c r="J12">
        <v>3.97</v>
      </c>
      <c r="K12" s="9">
        <v>1.1749999999999998</v>
      </c>
      <c r="L12" s="7">
        <v>3</v>
      </c>
      <c r="M12">
        <v>4</v>
      </c>
      <c r="N12" s="9">
        <v>0</v>
      </c>
    </row>
    <row r="13" spans="1:14" x14ac:dyDescent="0.25">
      <c r="A13" s="9" t="s">
        <v>94</v>
      </c>
      <c r="B13" s="4">
        <v>66.59</v>
      </c>
      <c r="C13" s="9" t="s">
        <v>171</v>
      </c>
      <c r="D13" s="7">
        <v>142</v>
      </c>
      <c r="E13" s="7">
        <v>85</v>
      </c>
      <c r="F13" s="9">
        <v>71.942400000000006</v>
      </c>
      <c r="G13">
        <v>13.7517</v>
      </c>
      <c r="H13">
        <v>12.2956</v>
      </c>
      <c r="I13">
        <v>13.02365</v>
      </c>
      <c r="J13">
        <v>3.77</v>
      </c>
      <c r="K13" s="9">
        <v>0.92500000000000004</v>
      </c>
      <c r="L13" s="7">
        <v>3</v>
      </c>
      <c r="M13">
        <v>3</v>
      </c>
      <c r="N13" s="9">
        <v>1</v>
      </c>
    </row>
    <row r="14" spans="1:14" x14ac:dyDescent="0.25">
      <c r="A14" s="9" t="s">
        <v>93</v>
      </c>
      <c r="B14" s="4">
        <v>68.97</v>
      </c>
      <c r="C14" s="9" t="s">
        <v>170</v>
      </c>
      <c r="D14" s="7">
        <v>113</v>
      </c>
      <c r="E14" s="7">
        <v>79</v>
      </c>
      <c r="F14" s="9">
        <v>76.726299999999995</v>
      </c>
      <c r="G14">
        <v>6.3975</v>
      </c>
      <c r="H14">
        <v>11.953799999999999</v>
      </c>
      <c r="I14">
        <v>9.1756499999999992</v>
      </c>
      <c r="J14">
        <v>3.74</v>
      </c>
      <c r="K14" s="9">
        <v>0.84499999999999997</v>
      </c>
      <c r="L14" s="7">
        <v>2</v>
      </c>
      <c r="M14">
        <v>3</v>
      </c>
      <c r="N14" s="9">
        <v>0</v>
      </c>
    </row>
    <row r="15" spans="1:14" x14ac:dyDescent="0.25">
      <c r="A15" s="9" t="s">
        <v>91</v>
      </c>
      <c r="B15" s="4">
        <v>69.73</v>
      </c>
      <c r="C15" s="9" t="s">
        <v>170</v>
      </c>
      <c r="D15" s="7">
        <v>144</v>
      </c>
      <c r="E15" s="7">
        <v>76</v>
      </c>
      <c r="F15" s="9">
        <v>68.649900000000002</v>
      </c>
      <c r="G15">
        <v>8.7239000000000004</v>
      </c>
      <c r="H15">
        <v>16.269300000000001</v>
      </c>
      <c r="I15">
        <v>12.496600000000001</v>
      </c>
      <c r="J15">
        <v>2.6799999999999997</v>
      </c>
      <c r="K15" s="9">
        <v>1.53</v>
      </c>
      <c r="L15" s="7">
        <v>3</v>
      </c>
      <c r="M15">
        <v>3</v>
      </c>
      <c r="N15" s="9">
        <v>0</v>
      </c>
    </row>
    <row r="16" spans="1:14" x14ac:dyDescent="0.25">
      <c r="A16" s="9" t="s">
        <v>90</v>
      </c>
      <c r="B16" s="4">
        <v>72.180000000000007</v>
      </c>
      <c r="C16" s="9" t="s">
        <v>171</v>
      </c>
      <c r="D16" s="7">
        <v>135</v>
      </c>
      <c r="E16" s="7">
        <v>75</v>
      </c>
      <c r="F16" s="9">
        <v>67.720100000000002</v>
      </c>
      <c r="G16">
        <v>7.3437000000000001</v>
      </c>
      <c r="H16">
        <v>20.191199999999998</v>
      </c>
      <c r="I16">
        <v>13.76745</v>
      </c>
      <c r="J16">
        <v>2.2400000000000002</v>
      </c>
      <c r="K16" s="9">
        <v>1.31</v>
      </c>
      <c r="L16" s="7">
        <v>3</v>
      </c>
      <c r="M16">
        <v>3</v>
      </c>
      <c r="N16" s="9">
        <v>0</v>
      </c>
    </row>
    <row r="17" spans="1:14" x14ac:dyDescent="0.25">
      <c r="A17" s="9" t="s">
        <v>89</v>
      </c>
      <c r="B17" s="4">
        <v>74.099999999999994</v>
      </c>
      <c r="C17" s="9" t="s">
        <v>170</v>
      </c>
      <c r="D17" s="7">
        <v>113</v>
      </c>
      <c r="E17" s="7">
        <v>75</v>
      </c>
      <c r="F17" s="9">
        <v>68.493200000000002</v>
      </c>
      <c r="G17">
        <v>21.842199999999998</v>
      </c>
      <c r="H17">
        <v>6.3334999999999999</v>
      </c>
      <c r="I17">
        <v>14.08785</v>
      </c>
      <c r="J17">
        <v>3.59</v>
      </c>
      <c r="K17" s="9">
        <v>1.05</v>
      </c>
      <c r="L17" s="7">
        <v>3</v>
      </c>
      <c r="M17">
        <v>3</v>
      </c>
      <c r="N17" s="9">
        <v>0</v>
      </c>
    </row>
    <row r="18" spans="1:14" x14ac:dyDescent="0.25">
      <c r="A18" s="9" t="s">
        <v>87</v>
      </c>
      <c r="B18" s="4">
        <v>66.41</v>
      </c>
      <c r="C18" s="9" t="s">
        <v>170</v>
      </c>
      <c r="D18" s="7">
        <v>126</v>
      </c>
      <c r="E18" s="7">
        <v>89</v>
      </c>
      <c r="F18" s="9">
        <v>53.86</v>
      </c>
      <c r="G18">
        <v>10.0364</v>
      </c>
      <c r="H18">
        <v>2.0804</v>
      </c>
      <c r="I18">
        <v>6.0583999999999998</v>
      </c>
      <c r="J18">
        <v>3.0950000000000002</v>
      </c>
      <c r="K18" s="9">
        <v>1.2</v>
      </c>
      <c r="L18" s="7">
        <v>2</v>
      </c>
      <c r="M18">
        <v>3</v>
      </c>
      <c r="N18" s="9">
        <v>0</v>
      </c>
    </row>
    <row r="19" spans="1:14" x14ac:dyDescent="0.25">
      <c r="A19" s="9" t="s">
        <v>86</v>
      </c>
      <c r="B19" s="4">
        <v>66.14</v>
      </c>
      <c r="C19" s="9" t="s">
        <v>171</v>
      </c>
      <c r="D19" s="7">
        <v>136</v>
      </c>
      <c r="E19" s="7">
        <v>84</v>
      </c>
      <c r="F19" s="9">
        <v>55.970100000000002</v>
      </c>
      <c r="G19">
        <v>11.5677</v>
      </c>
      <c r="H19">
        <v>23.549700000000001</v>
      </c>
      <c r="I19">
        <v>17.558700000000002</v>
      </c>
      <c r="J19">
        <v>3.31</v>
      </c>
      <c r="K19" s="9">
        <v>1.2200000000000002</v>
      </c>
      <c r="L19" s="7">
        <v>3</v>
      </c>
      <c r="M19">
        <v>3</v>
      </c>
      <c r="N19" s="9">
        <v>0</v>
      </c>
    </row>
    <row r="20" spans="1:14" x14ac:dyDescent="0.25">
      <c r="A20" s="9" t="s">
        <v>85</v>
      </c>
      <c r="B20" s="4">
        <v>72.16</v>
      </c>
      <c r="C20" s="9" t="s">
        <v>170</v>
      </c>
      <c r="D20" s="7">
        <v>130</v>
      </c>
      <c r="E20" s="7">
        <v>78</v>
      </c>
      <c r="F20" s="9">
        <v>70.257599999999996</v>
      </c>
      <c r="G20">
        <v>15.3314</v>
      </c>
      <c r="H20">
        <v>20.209800000000001</v>
      </c>
      <c r="I20">
        <v>17.770600000000002</v>
      </c>
      <c r="J20">
        <v>3.665</v>
      </c>
      <c r="K20" s="9">
        <v>1.1549999999999998</v>
      </c>
      <c r="L20" s="7">
        <v>2</v>
      </c>
      <c r="M20">
        <v>3</v>
      </c>
      <c r="N20" s="9">
        <v>0</v>
      </c>
    </row>
    <row r="21" spans="1:14" x14ac:dyDescent="0.25">
      <c r="A21" s="9" t="s">
        <v>84</v>
      </c>
      <c r="B21" s="4">
        <v>67.38</v>
      </c>
      <c r="C21" s="9" t="s">
        <v>170</v>
      </c>
      <c r="D21" s="7">
        <v>146</v>
      </c>
      <c r="E21" s="7">
        <v>90</v>
      </c>
      <c r="F21" s="9">
        <v>62.5</v>
      </c>
      <c r="G21">
        <v>5.6186999999999996</v>
      </c>
      <c r="H21">
        <v>6.9631999999999996</v>
      </c>
      <c r="I21">
        <v>6.2909499999999996</v>
      </c>
      <c r="J21">
        <v>4.4800000000000004</v>
      </c>
      <c r="K21" s="9">
        <v>1.2949999999999999</v>
      </c>
      <c r="L21" s="7">
        <v>3</v>
      </c>
      <c r="M21">
        <v>3</v>
      </c>
      <c r="N21" s="9">
        <v>0</v>
      </c>
    </row>
    <row r="22" spans="1:14" x14ac:dyDescent="0.25">
      <c r="A22" s="9" t="s">
        <v>83</v>
      </c>
      <c r="B22" s="4">
        <v>67.88</v>
      </c>
      <c r="C22" s="9" t="s">
        <v>171</v>
      </c>
      <c r="D22" s="7">
        <v>100</v>
      </c>
      <c r="E22" s="7">
        <v>49</v>
      </c>
      <c r="F22" s="9">
        <v>51.2821</v>
      </c>
      <c r="G22">
        <v>30.041499999999999</v>
      </c>
      <c r="H22">
        <v>8.0736000000000008</v>
      </c>
      <c r="I22">
        <v>19.057549999999999</v>
      </c>
      <c r="J22">
        <v>4.37</v>
      </c>
      <c r="K22" s="9">
        <v>0.95499999999999996</v>
      </c>
      <c r="L22" s="7">
        <v>3</v>
      </c>
      <c r="M22">
        <v>3</v>
      </c>
      <c r="N22" s="9">
        <v>0</v>
      </c>
    </row>
    <row r="23" spans="1:14" x14ac:dyDescent="0.25">
      <c r="A23" s="9" t="s">
        <v>82</v>
      </c>
      <c r="B23" s="4">
        <v>65.64</v>
      </c>
      <c r="C23" s="9" t="s">
        <v>170</v>
      </c>
      <c r="D23" s="7">
        <v>144</v>
      </c>
      <c r="E23" s="7">
        <v>79</v>
      </c>
      <c r="F23" s="9">
        <v>75.566800000000001</v>
      </c>
      <c r="G23">
        <v>42.664499999999997</v>
      </c>
      <c r="H23">
        <v>5.1475999999999997</v>
      </c>
      <c r="I23">
        <v>23.90605</v>
      </c>
      <c r="J23">
        <v>4.4800000000000004</v>
      </c>
      <c r="K23" s="9">
        <v>1.2949999999999999</v>
      </c>
      <c r="L23" s="7">
        <v>3</v>
      </c>
      <c r="M23">
        <v>3</v>
      </c>
      <c r="N23" s="9">
        <v>0</v>
      </c>
    </row>
    <row r="24" spans="1:14" x14ac:dyDescent="0.25">
      <c r="A24" s="9" t="s">
        <v>80</v>
      </c>
      <c r="B24" s="4">
        <v>78.8</v>
      </c>
      <c r="C24" s="9" t="s">
        <v>170</v>
      </c>
      <c r="D24" s="7">
        <v>121</v>
      </c>
      <c r="E24" s="7">
        <v>79</v>
      </c>
      <c r="F24" s="9">
        <v>85.714299999999994</v>
      </c>
      <c r="G24">
        <v>35.501199999999997</v>
      </c>
      <c r="H24">
        <v>14.69</v>
      </c>
      <c r="I24">
        <v>25.095600000000001</v>
      </c>
      <c r="J24">
        <v>2.41</v>
      </c>
      <c r="K24" s="9">
        <v>1.08</v>
      </c>
      <c r="L24" s="7">
        <v>3</v>
      </c>
      <c r="M24">
        <v>3</v>
      </c>
      <c r="N24" s="9">
        <v>0</v>
      </c>
    </row>
    <row r="25" spans="1:14" x14ac:dyDescent="0.25">
      <c r="A25" s="9" t="s">
        <v>79</v>
      </c>
      <c r="B25" s="4">
        <v>66.55</v>
      </c>
      <c r="C25" s="9" t="s">
        <v>170</v>
      </c>
      <c r="D25" s="7">
        <v>123</v>
      </c>
      <c r="E25" s="7">
        <v>79</v>
      </c>
      <c r="F25" s="9">
        <v>57.8035</v>
      </c>
      <c r="G25">
        <v>9.1564999999999994</v>
      </c>
      <c r="H25">
        <v>8.5279000000000007</v>
      </c>
      <c r="I25">
        <v>8.8422000000000001</v>
      </c>
      <c r="J25">
        <v>5.2349999999999994</v>
      </c>
      <c r="K25" s="9">
        <v>1</v>
      </c>
      <c r="L25" s="7">
        <v>3</v>
      </c>
      <c r="M25">
        <v>3</v>
      </c>
      <c r="N25" s="9">
        <v>0</v>
      </c>
    </row>
    <row r="26" spans="1:14" x14ac:dyDescent="0.25">
      <c r="A26" s="9" t="s">
        <v>78</v>
      </c>
      <c r="B26" s="4">
        <v>74.930000000000007</v>
      </c>
      <c r="C26" s="9" t="s">
        <v>171</v>
      </c>
      <c r="D26" s="7">
        <v>114</v>
      </c>
      <c r="E26" s="7">
        <v>71</v>
      </c>
      <c r="F26" s="9">
        <v>55.4529</v>
      </c>
      <c r="G26">
        <v>52.819600000000001</v>
      </c>
      <c r="H26">
        <v>5.9351000000000003</v>
      </c>
      <c r="I26">
        <v>29.37735</v>
      </c>
      <c r="J26">
        <v>2.6950000000000003</v>
      </c>
      <c r="K26" s="9">
        <v>1.33</v>
      </c>
      <c r="L26" s="7">
        <v>3</v>
      </c>
      <c r="M26">
        <v>3</v>
      </c>
      <c r="N26" s="9">
        <v>0</v>
      </c>
    </row>
    <row r="27" spans="1:14" x14ac:dyDescent="0.25">
      <c r="A27" s="9" t="s">
        <v>77</v>
      </c>
      <c r="B27" s="4">
        <v>79.540000000000006</v>
      </c>
      <c r="C27" s="9" t="s">
        <v>170</v>
      </c>
      <c r="D27" s="7">
        <v>107</v>
      </c>
      <c r="E27" s="7">
        <v>73</v>
      </c>
      <c r="F27" s="9">
        <v>62.240699999999997</v>
      </c>
      <c r="G27">
        <v>36.949199999999998</v>
      </c>
      <c r="H27">
        <v>24.676500000000001</v>
      </c>
      <c r="I27">
        <v>30.812850000000001</v>
      </c>
      <c r="J27">
        <v>3.0999999999999996</v>
      </c>
      <c r="K27" s="9">
        <v>1.08</v>
      </c>
      <c r="L27" s="7">
        <v>3</v>
      </c>
      <c r="M27">
        <v>3</v>
      </c>
      <c r="N27" s="9">
        <v>0</v>
      </c>
    </row>
    <row r="28" spans="1:14" x14ac:dyDescent="0.25">
      <c r="A28" s="9" t="s">
        <v>76</v>
      </c>
      <c r="B28" s="4">
        <v>86.51</v>
      </c>
      <c r="C28" s="9" t="s">
        <v>170</v>
      </c>
      <c r="D28" s="7">
        <v>105</v>
      </c>
      <c r="E28" s="7">
        <v>70</v>
      </c>
      <c r="F28" s="9">
        <v>47.169800000000002</v>
      </c>
      <c r="G28">
        <v>8.7911000000000001</v>
      </c>
      <c r="H28">
        <v>13.049300000000001</v>
      </c>
      <c r="I28">
        <v>10.920199999999999</v>
      </c>
      <c r="J28">
        <v>2.5149999999999997</v>
      </c>
      <c r="K28" s="9">
        <v>1.8249999999999997</v>
      </c>
      <c r="L28" s="7">
        <v>3</v>
      </c>
      <c r="M28">
        <v>3</v>
      </c>
      <c r="N28" s="9">
        <v>0</v>
      </c>
    </row>
    <row r="29" spans="1:14" x14ac:dyDescent="0.25">
      <c r="A29" s="9" t="s">
        <v>75</v>
      </c>
      <c r="B29" s="4">
        <v>85.1</v>
      </c>
      <c r="C29" s="9" t="s">
        <v>171</v>
      </c>
      <c r="D29" s="7">
        <v>198</v>
      </c>
      <c r="E29" s="7">
        <v>85</v>
      </c>
      <c r="F29" s="9">
        <v>63.694299999999998</v>
      </c>
      <c r="G29">
        <v>25.253799999999998</v>
      </c>
      <c r="H29">
        <v>8.3041</v>
      </c>
      <c r="I29">
        <v>16.778949999999998</v>
      </c>
      <c r="J29">
        <v>4.46</v>
      </c>
      <c r="K29" s="9">
        <v>1.1299999999999999</v>
      </c>
      <c r="L29" s="7">
        <v>2</v>
      </c>
      <c r="M29">
        <v>3</v>
      </c>
      <c r="N29" s="9">
        <v>0</v>
      </c>
    </row>
    <row r="30" spans="1:14" x14ac:dyDescent="0.25">
      <c r="A30" s="9" t="s">
        <v>74</v>
      </c>
      <c r="B30" s="4">
        <v>84.03</v>
      </c>
      <c r="C30" s="9" t="s">
        <v>171</v>
      </c>
      <c r="D30" s="7">
        <v>103</v>
      </c>
      <c r="E30" s="7">
        <v>70</v>
      </c>
      <c r="F30" s="9">
        <v>70.588200000000001</v>
      </c>
      <c r="G30">
        <v>19.180599999999998</v>
      </c>
      <c r="H30">
        <v>39.665900000000001</v>
      </c>
      <c r="I30">
        <v>29.423249999999999</v>
      </c>
      <c r="J30">
        <v>3.2250000000000001</v>
      </c>
      <c r="K30" s="9">
        <v>1.415</v>
      </c>
      <c r="L30" s="7">
        <v>3</v>
      </c>
      <c r="M30">
        <v>3</v>
      </c>
      <c r="N30" s="9">
        <v>0</v>
      </c>
    </row>
    <row r="31" spans="1:14" x14ac:dyDescent="0.25">
      <c r="A31" s="9" t="s">
        <v>72</v>
      </c>
      <c r="B31" s="4">
        <v>66.45</v>
      </c>
      <c r="C31" s="9" t="s">
        <v>170</v>
      </c>
      <c r="D31" s="7">
        <v>133</v>
      </c>
      <c r="E31" s="7">
        <v>86</v>
      </c>
      <c r="F31" s="9">
        <v>55.6586</v>
      </c>
      <c r="G31">
        <v>35.261699999999998</v>
      </c>
      <c r="H31">
        <v>6.6927000000000003</v>
      </c>
      <c r="I31">
        <v>20.9772</v>
      </c>
      <c r="J31">
        <v>3.1950000000000003</v>
      </c>
      <c r="K31" s="9">
        <v>1.03</v>
      </c>
      <c r="L31" s="7">
        <v>3</v>
      </c>
      <c r="M31">
        <v>3</v>
      </c>
      <c r="N31" s="9">
        <v>0</v>
      </c>
    </row>
    <row r="32" spans="1:14" x14ac:dyDescent="0.25">
      <c r="A32" s="9" t="s">
        <v>71</v>
      </c>
      <c r="B32" s="4">
        <v>84.88</v>
      </c>
      <c r="C32" s="9" t="s">
        <v>170</v>
      </c>
      <c r="D32" s="7">
        <v>167</v>
      </c>
      <c r="E32" s="7">
        <v>87</v>
      </c>
      <c r="F32" s="9">
        <v>57.915100000000002</v>
      </c>
      <c r="G32" s="1">
        <v>16.116099999999999</v>
      </c>
      <c r="H32">
        <v>25.512899999999998</v>
      </c>
      <c r="I32">
        <v>20.814499999999999</v>
      </c>
      <c r="J32">
        <v>3.36</v>
      </c>
      <c r="K32" s="9">
        <v>1.2349999999999999</v>
      </c>
      <c r="L32" s="7">
        <v>3</v>
      </c>
      <c r="M32">
        <v>3</v>
      </c>
      <c r="N32" s="9">
        <v>0</v>
      </c>
    </row>
    <row r="33" spans="1:14" x14ac:dyDescent="0.25">
      <c r="A33" s="9" t="s">
        <v>69</v>
      </c>
      <c r="B33" s="4">
        <v>81.56</v>
      </c>
      <c r="C33" s="9" t="s">
        <v>171</v>
      </c>
      <c r="D33" s="7">
        <v>130</v>
      </c>
      <c r="E33" s="7">
        <v>92</v>
      </c>
      <c r="F33" s="9">
        <v>68.181799999999996</v>
      </c>
      <c r="G33">
        <v>26.2654</v>
      </c>
      <c r="H33">
        <v>12.7989</v>
      </c>
      <c r="I33">
        <v>19.532150000000001</v>
      </c>
      <c r="J33">
        <v>3.7199999999999998</v>
      </c>
      <c r="K33" s="9">
        <v>1.25</v>
      </c>
      <c r="L33" s="7">
        <v>2</v>
      </c>
      <c r="M33">
        <v>3</v>
      </c>
      <c r="N33" s="9">
        <v>0</v>
      </c>
    </row>
    <row r="34" spans="1:14" x14ac:dyDescent="0.25">
      <c r="A34" s="9" t="s">
        <v>68</v>
      </c>
      <c r="B34" s="4">
        <v>81.34</v>
      </c>
      <c r="C34" s="9" t="s">
        <v>171</v>
      </c>
      <c r="D34" s="7">
        <v>125</v>
      </c>
      <c r="E34" s="7">
        <v>80</v>
      </c>
      <c r="F34" s="9">
        <v>73.891599999999997</v>
      </c>
      <c r="G34">
        <v>41.1813</v>
      </c>
      <c r="H34">
        <v>37.979199999999999</v>
      </c>
      <c r="I34">
        <v>39.580249999999999</v>
      </c>
      <c r="J34">
        <v>4.0199999999999996</v>
      </c>
      <c r="K34" s="9">
        <v>1.1599999999999999</v>
      </c>
      <c r="L34" s="7">
        <v>3</v>
      </c>
      <c r="M34">
        <v>3</v>
      </c>
      <c r="N34" s="9">
        <v>0</v>
      </c>
    </row>
    <row r="35" spans="1:14" x14ac:dyDescent="0.25">
      <c r="A35" s="9" t="s">
        <v>67</v>
      </c>
      <c r="B35" s="4">
        <v>90.37</v>
      </c>
      <c r="C35" s="9" t="s">
        <v>171</v>
      </c>
      <c r="D35" s="7">
        <v>124</v>
      </c>
      <c r="E35" s="7">
        <v>75</v>
      </c>
      <c r="F35" s="9">
        <v>64.377700000000004</v>
      </c>
      <c r="G35">
        <v>64.666899999999998</v>
      </c>
      <c r="H35">
        <v>15.536</v>
      </c>
      <c r="I35">
        <v>40.10145</v>
      </c>
      <c r="J35">
        <v>2.645</v>
      </c>
      <c r="K35" s="9">
        <v>1.67</v>
      </c>
      <c r="L35" s="7">
        <v>3</v>
      </c>
      <c r="M35">
        <v>3</v>
      </c>
      <c r="N35" s="9">
        <v>0</v>
      </c>
    </row>
    <row r="36" spans="1:14" x14ac:dyDescent="0.25">
      <c r="A36" s="9" t="s">
        <v>66</v>
      </c>
      <c r="B36" s="4">
        <v>74.900000000000006</v>
      </c>
      <c r="C36" s="9" t="s">
        <v>171</v>
      </c>
      <c r="D36" s="7">
        <v>149</v>
      </c>
      <c r="E36" s="7">
        <v>90</v>
      </c>
      <c r="F36" s="9">
        <v>50.933799999999998</v>
      </c>
      <c r="G36">
        <v>17.599499999999999</v>
      </c>
      <c r="H36">
        <v>17.933700000000002</v>
      </c>
      <c r="I36">
        <v>17.7666</v>
      </c>
      <c r="J36">
        <v>3.0649999999999999</v>
      </c>
      <c r="K36" s="9">
        <v>1.1400000000000001</v>
      </c>
      <c r="L36" s="7">
        <v>3</v>
      </c>
      <c r="M36">
        <v>3</v>
      </c>
      <c r="N36" s="9">
        <v>0</v>
      </c>
    </row>
    <row r="37" spans="1:14" x14ac:dyDescent="0.25">
      <c r="A37" s="9" t="s">
        <v>70</v>
      </c>
      <c r="B37">
        <v>80.02</v>
      </c>
      <c r="C37" s="9" t="s">
        <v>171</v>
      </c>
      <c r="D37" s="7">
        <v>133</v>
      </c>
      <c r="E37" s="7">
        <v>58</v>
      </c>
      <c r="F37" s="9">
        <v>54.644799999999996</v>
      </c>
      <c r="G37" s="1">
        <v>30.242699999999999</v>
      </c>
      <c r="H37">
        <v>10.739000000000001</v>
      </c>
      <c r="I37">
        <v>20.490849999999998</v>
      </c>
      <c r="J37">
        <v>3.3600000000000003</v>
      </c>
      <c r="K37" s="9">
        <v>1.4849999999999999</v>
      </c>
      <c r="L37" s="7">
        <v>3</v>
      </c>
      <c r="M37">
        <v>3</v>
      </c>
      <c r="N37" s="9">
        <v>0</v>
      </c>
    </row>
    <row r="38" spans="1:14" x14ac:dyDescent="0.25">
      <c r="A38" s="9" t="s">
        <v>73</v>
      </c>
      <c r="B38">
        <v>69.75</v>
      </c>
      <c r="C38" s="9" t="s">
        <v>171</v>
      </c>
      <c r="D38" s="7">
        <v>115</v>
      </c>
      <c r="E38" s="7">
        <v>83</v>
      </c>
      <c r="F38" s="9">
        <v>40.705599999999997</v>
      </c>
      <c r="G38">
        <v>5.181</v>
      </c>
      <c r="H38">
        <v>5.6830999999999996</v>
      </c>
      <c r="I38">
        <v>5.4320500000000003</v>
      </c>
      <c r="J38">
        <v>2.605</v>
      </c>
      <c r="K38" s="9">
        <v>1.44</v>
      </c>
      <c r="L38" s="7">
        <v>3</v>
      </c>
      <c r="M38">
        <v>3</v>
      </c>
      <c r="N38" s="9">
        <v>0</v>
      </c>
    </row>
    <row r="39" spans="1:14" x14ac:dyDescent="0.25">
      <c r="A39" s="13" t="s">
        <v>161</v>
      </c>
      <c r="B39">
        <v>80.88</v>
      </c>
      <c r="C39" s="9" t="s">
        <v>171</v>
      </c>
      <c r="D39" s="7">
        <v>172</v>
      </c>
      <c r="E39" s="7">
        <v>83</v>
      </c>
      <c r="F39" s="9">
        <v>57.8035</v>
      </c>
      <c r="G39">
        <v>48.087299999999999</v>
      </c>
      <c r="H39">
        <v>15.6289</v>
      </c>
      <c r="I39">
        <v>31.8581</v>
      </c>
      <c r="J39">
        <v>3.1749999999999998</v>
      </c>
      <c r="K39" s="9">
        <v>1.4750000000000001</v>
      </c>
      <c r="L39" s="7">
        <v>3</v>
      </c>
      <c r="M39">
        <v>3</v>
      </c>
      <c r="N39" s="9">
        <v>0</v>
      </c>
    </row>
    <row r="40" spans="1:14" x14ac:dyDescent="0.25">
      <c r="A40" s="9" t="s">
        <v>81</v>
      </c>
      <c r="B40">
        <v>68.08</v>
      </c>
      <c r="C40" s="9" t="s">
        <v>170</v>
      </c>
      <c r="D40" s="7">
        <v>100</v>
      </c>
      <c r="E40" s="7">
        <v>60</v>
      </c>
      <c r="F40" s="9">
        <v>49.180300000000003</v>
      </c>
      <c r="G40">
        <v>32.415100000000002</v>
      </c>
      <c r="H40">
        <v>16.4726</v>
      </c>
      <c r="I40">
        <v>24.443850000000001</v>
      </c>
      <c r="J40">
        <v>3.9550000000000001</v>
      </c>
      <c r="K40" s="9">
        <v>1.03</v>
      </c>
      <c r="L40" s="7">
        <v>2</v>
      </c>
      <c r="M40">
        <v>3</v>
      </c>
      <c r="N40" s="9">
        <v>0</v>
      </c>
    </row>
    <row r="41" spans="1:14" x14ac:dyDescent="0.25">
      <c r="A41" s="9" t="s">
        <v>88</v>
      </c>
      <c r="B41">
        <v>69.39</v>
      </c>
      <c r="C41" s="9" t="s">
        <v>171</v>
      </c>
      <c r="D41" s="7">
        <v>113</v>
      </c>
      <c r="E41" s="7">
        <v>76</v>
      </c>
      <c r="F41" s="9">
        <v>63.157899999999998</v>
      </c>
      <c r="G41">
        <v>3.3708999999999998</v>
      </c>
      <c r="H41">
        <v>7.8113999999999999</v>
      </c>
      <c r="I41">
        <v>5.5911499999999998</v>
      </c>
      <c r="J41">
        <v>3.55</v>
      </c>
      <c r="K41" s="9">
        <v>0.87000000000000011</v>
      </c>
      <c r="L41" s="7">
        <v>3</v>
      </c>
      <c r="M41">
        <v>3</v>
      </c>
      <c r="N41" s="9">
        <v>0</v>
      </c>
    </row>
    <row r="42" spans="1:14" x14ac:dyDescent="0.25">
      <c r="A42" s="9" t="s">
        <v>92</v>
      </c>
      <c r="B42">
        <v>68.16</v>
      </c>
      <c r="C42" s="9" t="s">
        <v>171</v>
      </c>
      <c r="D42" s="7">
        <v>154</v>
      </c>
      <c r="E42" s="7">
        <v>90</v>
      </c>
      <c r="F42" s="9">
        <v>63.965899999999998</v>
      </c>
      <c r="G42">
        <v>7.9787999999999997</v>
      </c>
      <c r="H42">
        <v>8.0017999999999994</v>
      </c>
      <c r="I42">
        <v>7.9903000000000004</v>
      </c>
      <c r="J42">
        <v>3.2949999999999999</v>
      </c>
      <c r="K42" s="9"/>
      <c r="L42" s="7">
        <v>3</v>
      </c>
      <c r="M42">
        <v>3</v>
      </c>
      <c r="N42" s="9">
        <v>0</v>
      </c>
    </row>
    <row r="43" spans="1:14" x14ac:dyDescent="0.25">
      <c r="A43" s="10" t="s">
        <v>96</v>
      </c>
      <c r="B43" s="8">
        <v>77.94</v>
      </c>
      <c r="C43" s="10" t="s">
        <v>171</v>
      </c>
      <c r="D43" s="8">
        <v>169</v>
      </c>
      <c r="E43" s="8">
        <v>77</v>
      </c>
      <c r="F43" s="10">
        <v>63.424900000000001</v>
      </c>
      <c r="G43" s="8">
        <v>31.006900000000002</v>
      </c>
      <c r="H43" s="8">
        <v>24.359300000000001</v>
      </c>
      <c r="I43" s="8">
        <v>27.6831</v>
      </c>
      <c r="J43" s="8">
        <v>3.3050000000000002</v>
      </c>
      <c r="K43" s="10">
        <v>1.53</v>
      </c>
      <c r="L43" s="8">
        <v>2</v>
      </c>
      <c r="M43" s="8">
        <v>3</v>
      </c>
      <c r="N43" s="10">
        <v>0</v>
      </c>
    </row>
    <row r="45" spans="1:14" x14ac:dyDescent="0.25">
      <c r="A45" s="14" t="str">
        <f>"# SUBJECTS= " &amp; COUNTA(A2:A43)</f>
        <v># SUBJECTS= 42</v>
      </c>
      <c r="C45" s="15" t="s">
        <v>171</v>
      </c>
    </row>
    <row r="46" spans="1:14" x14ac:dyDescent="0.25">
      <c r="A46" s="7" t="s">
        <v>178</v>
      </c>
      <c r="B46" s="11">
        <f>AVERAGE(B2:B43)</f>
        <v>73.549285714285716</v>
      </c>
      <c r="C46" s="7">
        <f>COUNTIF(C2:C43,"Female")</f>
        <v>23</v>
      </c>
      <c r="D46" s="11">
        <f t="shared" ref="D46:K46" si="0">AVERAGE(D2:D43)</f>
        <v>131.95238095238096</v>
      </c>
      <c r="E46" s="11">
        <f t="shared" si="0"/>
        <v>77.30952380952381</v>
      </c>
      <c r="F46" s="11">
        <f t="shared" si="0"/>
        <v>61.424071428571423</v>
      </c>
      <c r="G46" s="11">
        <f t="shared" si="0"/>
        <v>20.786695238095238</v>
      </c>
      <c r="H46" s="11">
        <f t="shared" si="0"/>
        <v>14.754716666666665</v>
      </c>
      <c r="I46" s="11">
        <f t="shared" si="0"/>
        <v>17.770705952380951</v>
      </c>
      <c r="J46" s="11">
        <f t="shared" si="0"/>
        <v>3.4372619047619049</v>
      </c>
      <c r="K46" s="11">
        <f t="shared" si="0"/>
        <v>1.2524390243902437</v>
      </c>
    </row>
    <row r="47" spans="1:14" x14ac:dyDescent="0.25">
      <c r="A47" s="7" t="s">
        <v>179</v>
      </c>
      <c r="B47" s="11">
        <f>_xlfn.STDEV.S(B2:B43)</f>
        <v>6.672353734283031</v>
      </c>
      <c r="C47" s="7"/>
      <c r="D47" s="11">
        <f t="shared" ref="D47:K47" si="1">_xlfn.STDEV.S(D2:D43)</f>
        <v>21.787166037575791</v>
      </c>
      <c r="E47" s="11">
        <f t="shared" si="1"/>
        <v>9.1797446567338543</v>
      </c>
      <c r="F47" s="11">
        <f t="shared" si="1"/>
        <v>9.1797040552831088</v>
      </c>
      <c r="G47" s="11">
        <f t="shared" si="1"/>
        <v>15.067507842097985</v>
      </c>
      <c r="H47" s="11">
        <f t="shared" si="1"/>
        <v>9.4297882722245543</v>
      </c>
      <c r="I47" s="11">
        <f t="shared" si="1"/>
        <v>9.1864715533037415</v>
      </c>
      <c r="J47" s="11">
        <f t="shared" si="1"/>
        <v>0.66709344281006355</v>
      </c>
      <c r="K47" s="11">
        <f t="shared" si="1"/>
        <v>0.2244078929962687</v>
      </c>
    </row>
    <row r="48" spans="1:14" x14ac:dyDescent="0.25">
      <c r="A48" s="7" t="s">
        <v>180</v>
      </c>
      <c r="B48" s="7">
        <f>MAX(B2:B43)</f>
        <v>90.37</v>
      </c>
      <c r="C48" s="7"/>
      <c r="D48" s="7">
        <f t="shared" ref="D48:K48" si="2">MAX(D2:D43)</f>
        <v>198</v>
      </c>
      <c r="E48" s="7">
        <f t="shared" si="2"/>
        <v>92</v>
      </c>
      <c r="F48" s="11">
        <f t="shared" si="2"/>
        <v>85.714299999999994</v>
      </c>
      <c r="G48" s="11">
        <f t="shared" si="2"/>
        <v>64.666899999999998</v>
      </c>
      <c r="H48" s="11">
        <f t="shared" si="2"/>
        <v>39.665900000000001</v>
      </c>
      <c r="I48" s="11">
        <f t="shared" si="2"/>
        <v>40.10145</v>
      </c>
      <c r="J48" s="11">
        <f t="shared" si="2"/>
        <v>5.2349999999999994</v>
      </c>
      <c r="K48" s="11">
        <f t="shared" si="2"/>
        <v>1.8249999999999997</v>
      </c>
    </row>
    <row r="49" spans="1:11" x14ac:dyDescent="0.25">
      <c r="A49" s="7" t="s">
        <v>181</v>
      </c>
      <c r="B49" s="7">
        <f>MIN(B2:B43)</f>
        <v>65.64</v>
      </c>
      <c r="C49" s="7"/>
      <c r="D49" s="7">
        <f t="shared" ref="D49:K49" si="3">MIN(D2:D43)</f>
        <v>100</v>
      </c>
      <c r="E49" s="7">
        <f t="shared" si="3"/>
        <v>49</v>
      </c>
      <c r="F49" s="11">
        <f t="shared" si="3"/>
        <v>40.705599999999997</v>
      </c>
      <c r="G49" s="11">
        <f t="shared" si="3"/>
        <v>3.3708999999999998</v>
      </c>
      <c r="H49" s="11">
        <f t="shared" si="3"/>
        <v>2.0804</v>
      </c>
      <c r="I49" s="11">
        <f t="shared" si="3"/>
        <v>5.4320500000000003</v>
      </c>
      <c r="J49" s="11">
        <f t="shared" si="3"/>
        <v>2.2149999999999999</v>
      </c>
      <c r="K49" s="11">
        <f t="shared" si="3"/>
        <v>0.84499999999999997</v>
      </c>
    </row>
  </sheetData>
  <sortState xmlns:xlrd2="http://schemas.microsoft.com/office/spreadsheetml/2017/richdata2" ref="A2:J45">
    <sortCondition descending="1" ref="A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9"/>
  <sheetViews>
    <sheetView tabSelected="1" workbookViewId="0">
      <selection activeCell="N41" sqref="N41"/>
    </sheetView>
  </sheetViews>
  <sheetFormatPr defaultRowHeight="15" x14ac:dyDescent="0.25"/>
  <cols>
    <col min="1" max="1" width="15.85546875" customWidth="1"/>
    <col min="2" max="3" width="11.5703125" customWidth="1"/>
    <col min="6" max="6" width="9.85546875" customWidth="1"/>
    <col min="7" max="9" width="12.140625" customWidth="1"/>
    <col min="10" max="11" width="17.28515625" style="7" customWidth="1"/>
    <col min="12" max="12" width="9.140625" style="7"/>
    <col min="14" max="14" width="15.28515625" style="7" customWidth="1"/>
  </cols>
  <sheetData>
    <row r="1" spans="1:14" x14ac:dyDescent="0.25">
      <c r="A1" s="10" t="s">
        <v>28</v>
      </c>
      <c r="B1" s="8" t="s">
        <v>162</v>
      </c>
      <c r="C1" s="10" t="s">
        <v>169</v>
      </c>
      <c r="D1" s="8" t="s">
        <v>167</v>
      </c>
      <c r="E1" s="8" t="s">
        <v>168</v>
      </c>
      <c r="F1" s="10" t="s">
        <v>174</v>
      </c>
      <c r="G1" s="8" t="s">
        <v>29</v>
      </c>
      <c r="H1" s="8" t="s">
        <v>30</v>
      </c>
      <c r="I1" s="8" t="s">
        <v>31</v>
      </c>
      <c r="J1" s="8" t="s">
        <v>163</v>
      </c>
      <c r="K1" s="10" t="s">
        <v>164</v>
      </c>
      <c r="L1" s="8" t="s">
        <v>172</v>
      </c>
      <c r="M1" s="8" t="s">
        <v>173</v>
      </c>
      <c r="N1" s="10" t="s">
        <v>175</v>
      </c>
    </row>
    <row r="2" spans="1:14" x14ac:dyDescent="0.25">
      <c r="A2" s="9" t="s">
        <v>136</v>
      </c>
      <c r="B2" s="5">
        <v>60.56</v>
      </c>
      <c r="C2" s="9" t="s">
        <v>170</v>
      </c>
      <c r="D2" s="7">
        <v>166</v>
      </c>
      <c r="E2" s="7">
        <v>98</v>
      </c>
      <c r="F2" s="9">
        <v>50.335599999999999</v>
      </c>
      <c r="G2">
        <v>19.0794</v>
      </c>
      <c r="H2">
        <v>3.1124000000000001</v>
      </c>
      <c r="I2" s="7">
        <v>11.0959</v>
      </c>
      <c r="J2" s="7">
        <v>2.6349999999999998</v>
      </c>
      <c r="K2" s="9">
        <v>1.355</v>
      </c>
      <c r="L2" s="7">
        <v>3</v>
      </c>
      <c r="M2">
        <v>3</v>
      </c>
      <c r="N2" s="9">
        <v>0</v>
      </c>
    </row>
    <row r="3" spans="1:14" x14ac:dyDescent="0.25">
      <c r="A3" s="9" t="s">
        <v>135</v>
      </c>
      <c r="B3" s="5">
        <v>55.03</v>
      </c>
      <c r="C3" s="9" t="s">
        <v>171</v>
      </c>
      <c r="D3" s="7">
        <v>134</v>
      </c>
      <c r="E3" s="7">
        <v>83</v>
      </c>
      <c r="F3" s="9">
        <v>83.102500000000006</v>
      </c>
      <c r="G3">
        <v>2.3001</v>
      </c>
      <c r="H3">
        <v>9.1366999999999994</v>
      </c>
      <c r="I3">
        <v>5.7183999999999999</v>
      </c>
      <c r="J3" s="7">
        <v>3.4550000000000001</v>
      </c>
      <c r="K3" s="9">
        <v>1.1949999999999998</v>
      </c>
      <c r="L3" s="7">
        <v>3</v>
      </c>
      <c r="M3">
        <v>3</v>
      </c>
      <c r="N3" s="9">
        <v>0</v>
      </c>
    </row>
    <row r="4" spans="1:14" x14ac:dyDescent="0.25">
      <c r="A4" s="9" t="s">
        <v>134</v>
      </c>
      <c r="B4" s="5">
        <v>64.28</v>
      </c>
      <c r="C4" s="9" t="s">
        <v>171</v>
      </c>
      <c r="D4" s="7">
        <v>127</v>
      </c>
      <c r="E4" s="7">
        <v>76</v>
      </c>
      <c r="F4" s="9">
        <v>50.083500000000001</v>
      </c>
      <c r="G4">
        <v>11.8001</v>
      </c>
      <c r="H4">
        <v>30.558900000000001</v>
      </c>
      <c r="I4">
        <v>21.179500000000001</v>
      </c>
      <c r="J4" s="7">
        <v>3.21</v>
      </c>
      <c r="K4" s="9">
        <v>1.44</v>
      </c>
      <c r="L4" s="7">
        <v>3</v>
      </c>
      <c r="M4">
        <v>3</v>
      </c>
      <c r="N4" s="9">
        <v>0</v>
      </c>
    </row>
    <row r="5" spans="1:14" x14ac:dyDescent="0.25">
      <c r="A5" s="9" t="s">
        <v>133</v>
      </c>
      <c r="B5" s="5">
        <v>54.22</v>
      </c>
      <c r="C5" s="9" t="s">
        <v>171</v>
      </c>
      <c r="D5" s="7">
        <v>128</v>
      </c>
      <c r="E5" s="7">
        <v>79</v>
      </c>
      <c r="F5" s="9">
        <v>50.933799999999998</v>
      </c>
      <c r="G5">
        <v>15.151999999999999</v>
      </c>
      <c r="H5">
        <v>16.332599999999999</v>
      </c>
      <c r="I5">
        <v>15.7423</v>
      </c>
      <c r="J5" s="7">
        <v>3.915</v>
      </c>
      <c r="K5" s="9">
        <v>1.03</v>
      </c>
      <c r="N5" s="9">
        <v>0</v>
      </c>
    </row>
    <row r="6" spans="1:14" x14ac:dyDescent="0.25">
      <c r="A6" s="9" t="s">
        <v>132</v>
      </c>
      <c r="B6" s="5">
        <v>64.89</v>
      </c>
      <c r="C6" s="9" t="s">
        <v>171</v>
      </c>
      <c r="D6" s="7">
        <v>111</v>
      </c>
      <c r="E6" s="7">
        <v>74</v>
      </c>
      <c r="F6" s="9">
        <v>56.285200000000003</v>
      </c>
      <c r="G6">
        <v>5.5052000000000003</v>
      </c>
      <c r="H6">
        <v>18.885100000000001</v>
      </c>
      <c r="I6">
        <v>12.195150000000002</v>
      </c>
      <c r="J6" s="7">
        <v>4.375</v>
      </c>
      <c r="K6" s="9">
        <v>0.94000000000000006</v>
      </c>
      <c r="N6" s="9">
        <v>0</v>
      </c>
    </row>
    <row r="7" spans="1:14" x14ac:dyDescent="0.25">
      <c r="A7" s="9" t="s">
        <v>131</v>
      </c>
      <c r="B7" s="5">
        <v>54.57</v>
      </c>
      <c r="C7" s="9" t="s">
        <v>171</v>
      </c>
      <c r="D7" s="7">
        <v>127</v>
      </c>
      <c r="E7" s="7">
        <v>87</v>
      </c>
      <c r="F7" s="9">
        <v>51.7241</v>
      </c>
      <c r="G7">
        <v>6.1519000000000004</v>
      </c>
      <c r="H7">
        <v>2.6772</v>
      </c>
      <c r="I7">
        <v>4.4145500000000002</v>
      </c>
      <c r="J7" s="7">
        <v>4.57</v>
      </c>
      <c r="K7" s="9">
        <v>0.85499999999999998</v>
      </c>
      <c r="N7" s="9">
        <v>0</v>
      </c>
    </row>
    <row r="8" spans="1:14" x14ac:dyDescent="0.25">
      <c r="A8" s="9" t="s">
        <v>130</v>
      </c>
      <c r="B8" s="5">
        <v>57.18</v>
      </c>
      <c r="C8" s="9" t="s">
        <v>171</v>
      </c>
      <c r="D8" s="7">
        <v>122</v>
      </c>
      <c r="E8" s="7">
        <v>74</v>
      </c>
      <c r="F8" s="9">
        <v>49.099800000000002</v>
      </c>
      <c r="G8">
        <v>6.9744999999999999</v>
      </c>
      <c r="H8">
        <v>2.9615</v>
      </c>
      <c r="I8">
        <v>4.968</v>
      </c>
      <c r="J8" s="7">
        <v>3.2749999999999999</v>
      </c>
      <c r="K8" s="9">
        <v>0.94500000000000006</v>
      </c>
      <c r="L8" s="7">
        <v>3</v>
      </c>
      <c r="M8">
        <v>3</v>
      </c>
      <c r="N8" s="9">
        <v>0</v>
      </c>
    </row>
    <row r="9" spans="1:14" x14ac:dyDescent="0.25">
      <c r="A9" s="9" t="s">
        <v>129</v>
      </c>
      <c r="B9" s="5">
        <v>47.9</v>
      </c>
      <c r="C9" s="9" t="s">
        <v>170</v>
      </c>
      <c r="D9" s="7">
        <v>130</v>
      </c>
      <c r="E9" s="7">
        <v>81</v>
      </c>
      <c r="F9" s="9">
        <v>66.518799999999999</v>
      </c>
      <c r="G9">
        <v>12.6432</v>
      </c>
      <c r="H9">
        <v>12.1592</v>
      </c>
      <c r="I9">
        <v>12.401199999999999</v>
      </c>
      <c r="J9" s="7">
        <v>5.22</v>
      </c>
      <c r="K9" s="9">
        <v>0.81</v>
      </c>
      <c r="L9" s="7">
        <v>3</v>
      </c>
      <c r="M9">
        <v>3</v>
      </c>
      <c r="N9" s="9">
        <v>0</v>
      </c>
    </row>
    <row r="10" spans="1:14" x14ac:dyDescent="0.25">
      <c r="A10" s="9" t="s">
        <v>128</v>
      </c>
      <c r="B10" s="5">
        <v>50.84</v>
      </c>
      <c r="C10" s="9" t="s">
        <v>171</v>
      </c>
      <c r="D10" s="7">
        <v>131</v>
      </c>
      <c r="E10" s="7">
        <v>90</v>
      </c>
      <c r="F10" s="9">
        <v>72.639200000000002</v>
      </c>
      <c r="G10">
        <v>3.2972000000000001</v>
      </c>
      <c r="H10">
        <v>6.0491000000000001</v>
      </c>
      <c r="I10">
        <v>4.6731499999999997</v>
      </c>
      <c r="J10" s="7">
        <v>3.42</v>
      </c>
      <c r="K10" s="9">
        <v>1.085</v>
      </c>
      <c r="L10" s="7">
        <v>2</v>
      </c>
      <c r="M10">
        <v>2</v>
      </c>
      <c r="N10" s="9">
        <v>0</v>
      </c>
    </row>
    <row r="11" spans="1:14" x14ac:dyDescent="0.25">
      <c r="A11" s="9" t="s">
        <v>127</v>
      </c>
      <c r="B11" s="5">
        <v>57.8</v>
      </c>
      <c r="C11" s="9" t="s">
        <v>171</v>
      </c>
      <c r="D11" s="7">
        <v>106</v>
      </c>
      <c r="E11" s="7">
        <v>67</v>
      </c>
      <c r="F11" s="9">
        <v>69.767399999999995</v>
      </c>
      <c r="G11">
        <v>8.6476000000000006</v>
      </c>
      <c r="H11">
        <v>16.184200000000001</v>
      </c>
      <c r="I11">
        <v>12.415900000000001</v>
      </c>
      <c r="J11" s="7">
        <v>3.58</v>
      </c>
      <c r="K11" s="9">
        <v>0.89</v>
      </c>
      <c r="L11" s="7">
        <v>3</v>
      </c>
      <c r="M11">
        <v>3</v>
      </c>
      <c r="N11" s="9">
        <v>0</v>
      </c>
    </row>
    <row r="12" spans="1:14" x14ac:dyDescent="0.25">
      <c r="A12" s="9" t="s">
        <v>123</v>
      </c>
      <c r="B12" s="5">
        <v>49.59</v>
      </c>
      <c r="C12" s="9" t="s">
        <v>171</v>
      </c>
      <c r="D12" s="7">
        <v>108</v>
      </c>
      <c r="E12" s="7">
        <v>71</v>
      </c>
      <c r="F12" s="9">
        <v>49.751199999999997</v>
      </c>
      <c r="G12">
        <v>2.9910000000000001</v>
      </c>
      <c r="H12">
        <v>31.400099999999998</v>
      </c>
      <c r="I12">
        <v>17.195550000000001</v>
      </c>
      <c r="J12" s="7">
        <v>3.7250000000000001</v>
      </c>
      <c r="K12" s="9">
        <v>1.0649999999999999</v>
      </c>
      <c r="L12" s="7">
        <v>3</v>
      </c>
      <c r="M12">
        <v>3</v>
      </c>
      <c r="N12" s="9">
        <v>0</v>
      </c>
    </row>
    <row r="13" spans="1:14" x14ac:dyDescent="0.25">
      <c r="A13" s="9" t="s">
        <v>121</v>
      </c>
      <c r="B13" s="5">
        <v>62.42</v>
      </c>
      <c r="C13" s="9" t="s">
        <v>171</v>
      </c>
      <c r="D13" s="7">
        <v>155</v>
      </c>
      <c r="E13" s="7">
        <v>88</v>
      </c>
      <c r="F13" s="9">
        <v>57.034199999999998</v>
      </c>
      <c r="G13">
        <v>6.7944000000000004</v>
      </c>
      <c r="H13">
        <v>5.6767000000000003</v>
      </c>
      <c r="I13">
        <v>6.2355499999999999</v>
      </c>
      <c r="J13" s="7">
        <v>2.3650000000000002</v>
      </c>
      <c r="K13" s="9">
        <v>1.33</v>
      </c>
      <c r="L13" s="7">
        <v>2</v>
      </c>
      <c r="M13">
        <v>3</v>
      </c>
      <c r="N13" s="9">
        <v>0</v>
      </c>
    </row>
    <row r="14" spans="1:14" x14ac:dyDescent="0.25">
      <c r="A14" s="9" t="s">
        <v>118</v>
      </c>
      <c r="B14" s="5">
        <v>54.19</v>
      </c>
      <c r="C14" s="9" t="s">
        <v>171</v>
      </c>
      <c r="D14" s="7">
        <v>119</v>
      </c>
      <c r="E14" s="7">
        <v>83</v>
      </c>
      <c r="F14" s="9">
        <v>91.743099999999998</v>
      </c>
      <c r="G14">
        <v>3.8155000000000001</v>
      </c>
      <c r="H14">
        <v>13.5212</v>
      </c>
      <c r="I14">
        <v>8.6683500000000002</v>
      </c>
      <c r="J14" s="7">
        <v>2.65</v>
      </c>
      <c r="K14" s="9">
        <v>1.1800000000000002</v>
      </c>
      <c r="L14" s="7">
        <v>3</v>
      </c>
      <c r="M14">
        <v>3</v>
      </c>
      <c r="N14" s="9">
        <v>0</v>
      </c>
    </row>
    <row r="15" spans="1:14" x14ac:dyDescent="0.25">
      <c r="A15" s="13" t="s">
        <v>165</v>
      </c>
      <c r="B15" s="5">
        <v>64.599999999999994</v>
      </c>
      <c r="C15" s="9" t="s">
        <v>171</v>
      </c>
      <c r="D15" s="7">
        <v>120</v>
      </c>
      <c r="E15" s="7">
        <v>80</v>
      </c>
      <c r="F15" s="9">
        <v>73.891599999999997</v>
      </c>
      <c r="H15">
        <v>5.9294000000000002</v>
      </c>
      <c r="I15">
        <v>5.9294000000000002</v>
      </c>
      <c r="J15" s="7">
        <v>3.04</v>
      </c>
      <c r="K15" s="9">
        <v>1.1850000000000001</v>
      </c>
      <c r="L15" s="7">
        <v>3</v>
      </c>
      <c r="M15">
        <v>3</v>
      </c>
      <c r="N15" s="9">
        <v>0</v>
      </c>
    </row>
    <row r="16" spans="1:14" x14ac:dyDescent="0.25">
      <c r="A16" s="9" t="s">
        <v>117</v>
      </c>
      <c r="B16" s="5">
        <v>53.93</v>
      </c>
      <c r="C16" s="9" t="s">
        <v>170</v>
      </c>
      <c r="D16" s="7">
        <v>128</v>
      </c>
      <c r="E16" s="7">
        <v>89</v>
      </c>
      <c r="F16" s="9">
        <v>63.025199999999998</v>
      </c>
      <c r="G16">
        <v>7.1816000000000004</v>
      </c>
      <c r="H16">
        <v>2.8996</v>
      </c>
      <c r="I16">
        <v>5.0406000000000004</v>
      </c>
      <c r="J16" s="7">
        <v>3.33</v>
      </c>
      <c r="K16" s="9">
        <v>1.03</v>
      </c>
      <c r="L16" s="7">
        <v>3</v>
      </c>
      <c r="M16">
        <v>3</v>
      </c>
      <c r="N16" s="9">
        <v>0</v>
      </c>
    </row>
    <row r="17" spans="1:14" x14ac:dyDescent="0.25">
      <c r="A17" s="9" t="s">
        <v>116</v>
      </c>
      <c r="B17" s="5">
        <v>64.430000000000007</v>
      </c>
      <c r="C17" s="9" t="s">
        <v>171</v>
      </c>
      <c r="D17" s="7">
        <v>124</v>
      </c>
      <c r="E17" s="7">
        <v>82</v>
      </c>
      <c r="F17" s="9">
        <v>66.079300000000003</v>
      </c>
      <c r="G17">
        <v>6.0450999999999997</v>
      </c>
      <c r="H17">
        <v>6.8272000000000004</v>
      </c>
      <c r="I17">
        <v>6.4361499999999996</v>
      </c>
      <c r="J17" s="7">
        <v>3.9349999999999996</v>
      </c>
      <c r="K17" s="9">
        <v>1.1200000000000001</v>
      </c>
      <c r="L17" s="7">
        <v>2</v>
      </c>
      <c r="M17">
        <v>3</v>
      </c>
      <c r="N17" s="9">
        <v>0</v>
      </c>
    </row>
    <row r="18" spans="1:14" x14ac:dyDescent="0.25">
      <c r="A18" s="9" t="s">
        <v>115</v>
      </c>
      <c r="B18" s="5">
        <v>52.16</v>
      </c>
      <c r="C18" s="9" t="s">
        <v>171</v>
      </c>
      <c r="D18" s="7">
        <v>134</v>
      </c>
      <c r="E18" s="7">
        <v>79</v>
      </c>
      <c r="F18" s="9">
        <v>47.543599999999998</v>
      </c>
      <c r="G18">
        <v>6.9273999999999996</v>
      </c>
      <c r="H18">
        <v>16.148099999999999</v>
      </c>
      <c r="I18">
        <v>11.537749999999999</v>
      </c>
      <c r="J18" s="7">
        <v>3.84</v>
      </c>
      <c r="K18" s="9">
        <v>1.0449999999999999</v>
      </c>
      <c r="L18" s="7">
        <v>3</v>
      </c>
      <c r="M18">
        <v>3</v>
      </c>
      <c r="N18" s="9">
        <v>0</v>
      </c>
    </row>
    <row r="19" spans="1:14" x14ac:dyDescent="0.25">
      <c r="A19" s="9" t="s">
        <v>114</v>
      </c>
      <c r="B19" s="5">
        <v>56.96</v>
      </c>
      <c r="C19" s="9" t="s">
        <v>171</v>
      </c>
      <c r="D19" s="7">
        <v>138</v>
      </c>
      <c r="E19" s="7">
        <v>82</v>
      </c>
      <c r="F19" s="9">
        <v>56.926000000000002</v>
      </c>
      <c r="G19">
        <v>23.906500000000001</v>
      </c>
      <c r="H19">
        <v>2.5880000000000001</v>
      </c>
      <c r="I19">
        <v>13.247250000000001</v>
      </c>
      <c r="J19" s="7">
        <v>2.855</v>
      </c>
      <c r="K19" s="9">
        <v>1.26</v>
      </c>
      <c r="L19" s="7">
        <v>3</v>
      </c>
      <c r="M19">
        <v>3</v>
      </c>
      <c r="N19" s="9">
        <v>0</v>
      </c>
    </row>
    <row r="20" spans="1:14" x14ac:dyDescent="0.25">
      <c r="A20" s="13" t="s">
        <v>166</v>
      </c>
      <c r="B20" s="5">
        <v>64.040000000000006</v>
      </c>
      <c r="C20" s="9" t="s">
        <v>171</v>
      </c>
      <c r="D20" s="7">
        <v>129</v>
      </c>
      <c r="E20" s="7">
        <v>83</v>
      </c>
      <c r="F20" s="9">
        <v>68.649900000000002</v>
      </c>
      <c r="G20">
        <v>2.4388000000000001</v>
      </c>
      <c r="H20">
        <v>13.824400000000001</v>
      </c>
      <c r="I20">
        <v>8.1316000000000006</v>
      </c>
      <c r="J20" s="7">
        <v>2.3050000000000002</v>
      </c>
      <c r="K20" s="9">
        <v>1.7250000000000001</v>
      </c>
      <c r="L20" s="7">
        <v>2</v>
      </c>
      <c r="M20">
        <v>3</v>
      </c>
      <c r="N20" s="9">
        <v>0</v>
      </c>
    </row>
    <row r="21" spans="1:14" x14ac:dyDescent="0.25">
      <c r="A21" s="9" t="s">
        <v>110</v>
      </c>
      <c r="B21" s="5">
        <v>62.89</v>
      </c>
      <c r="C21" s="9" t="s">
        <v>170</v>
      </c>
      <c r="D21" s="7">
        <v>101</v>
      </c>
      <c r="E21" s="7">
        <v>66</v>
      </c>
      <c r="F21" s="9">
        <v>49.751199999999997</v>
      </c>
      <c r="G21">
        <v>37.3917</v>
      </c>
      <c r="H21">
        <v>17.927399999999999</v>
      </c>
      <c r="I21">
        <v>27.659549999999999</v>
      </c>
      <c r="J21" s="7">
        <v>3.3499999999999996</v>
      </c>
      <c r="K21" s="9">
        <v>0.91999999999999993</v>
      </c>
      <c r="L21" s="7">
        <v>2</v>
      </c>
      <c r="M21">
        <v>3</v>
      </c>
      <c r="N21" s="9">
        <v>0</v>
      </c>
    </row>
    <row r="22" spans="1:14" x14ac:dyDescent="0.25">
      <c r="A22" s="9" t="s">
        <v>109</v>
      </c>
      <c r="B22" s="5">
        <v>57.48</v>
      </c>
      <c r="C22" s="9" t="s">
        <v>171</v>
      </c>
      <c r="D22" s="7">
        <v>111</v>
      </c>
      <c r="E22" s="7">
        <v>75</v>
      </c>
      <c r="F22" s="9">
        <v>53.667299999999997</v>
      </c>
      <c r="G22">
        <v>20.3431</v>
      </c>
      <c r="H22">
        <v>7.9398999999999997</v>
      </c>
      <c r="I22">
        <v>14.141500000000001</v>
      </c>
      <c r="J22" s="7">
        <v>3.5</v>
      </c>
      <c r="K22" s="9">
        <v>1.0049999999999999</v>
      </c>
      <c r="L22" s="7">
        <v>3</v>
      </c>
      <c r="M22">
        <v>3</v>
      </c>
      <c r="N22" s="9">
        <v>0</v>
      </c>
    </row>
    <row r="23" spans="1:14" x14ac:dyDescent="0.25">
      <c r="A23" s="9" t="s">
        <v>126</v>
      </c>
      <c r="B23">
        <v>64.27</v>
      </c>
      <c r="C23" s="9" t="s">
        <v>171</v>
      </c>
      <c r="D23" s="7">
        <v>118</v>
      </c>
      <c r="E23" s="7">
        <v>74</v>
      </c>
      <c r="F23" s="9">
        <v>54.249499999999998</v>
      </c>
      <c r="G23">
        <v>7.7015000000000002</v>
      </c>
      <c r="H23">
        <v>23.964200000000002</v>
      </c>
      <c r="I23">
        <v>15.832850000000001</v>
      </c>
      <c r="J23">
        <v>3.14</v>
      </c>
      <c r="K23" s="9">
        <v>1.1800000000000002</v>
      </c>
      <c r="L23" s="7">
        <v>2</v>
      </c>
      <c r="M23">
        <v>3</v>
      </c>
      <c r="N23" s="9">
        <v>0</v>
      </c>
    </row>
    <row r="24" spans="1:14" x14ac:dyDescent="0.25">
      <c r="A24" s="9" t="s">
        <v>125</v>
      </c>
      <c r="B24">
        <v>52.43</v>
      </c>
      <c r="C24" s="9" t="s">
        <v>170</v>
      </c>
      <c r="D24" s="7">
        <v>118</v>
      </c>
      <c r="E24" s="7">
        <v>82</v>
      </c>
      <c r="F24" s="9">
        <v>79.365099999999998</v>
      </c>
      <c r="G24">
        <v>2.7439</v>
      </c>
      <c r="H24">
        <v>13.367599999999999</v>
      </c>
      <c r="I24">
        <v>8.0557499999999997</v>
      </c>
      <c r="J24">
        <v>2.4699999999999998</v>
      </c>
      <c r="K24" s="9">
        <v>1.0549999999999999</v>
      </c>
      <c r="L24" s="7">
        <v>3</v>
      </c>
      <c r="M24">
        <v>3</v>
      </c>
      <c r="N24" s="9">
        <v>0</v>
      </c>
    </row>
    <row r="25" spans="1:14" x14ac:dyDescent="0.25">
      <c r="A25" s="9" t="s">
        <v>124</v>
      </c>
      <c r="B25">
        <v>55.7</v>
      </c>
      <c r="C25" s="9" t="s">
        <v>171</v>
      </c>
      <c r="D25" s="7">
        <v>106</v>
      </c>
      <c r="E25" s="7">
        <v>70</v>
      </c>
      <c r="F25" s="9">
        <v>63.965899999999998</v>
      </c>
      <c r="G25">
        <v>3.2637999999999998</v>
      </c>
      <c r="H25">
        <v>10.4915</v>
      </c>
      <c r="I25">
        <v>6.87765</v>
      </c>
      <c r="J25">
        <v>3.3600000000000003</v>
      </c>
      <c r="K25" s="9">
        <v>0.99</v>
      </c>
      <c r="L25" s="7">
        <v>3</v>
      </c>
      <c r="M25">
        <v>3</v>
      </c>
      <c r="N25" s="9">
        <v>0</v>
      </c>
    </row>
    <row r="26" spans="1:14" x14ac:dyDescent="0.25">
      <c r="A26" s="9" t="s">
        <v>122</v>
      </c>
      <c r="B26">
        <v>59.19</v>
      </c>
      <c r="C26" s="9" t="s">
        <v>170</v>
      </c>
      <c r="D26" s="7">
        <v>130</v>
      </c>
      <c r="E26" s="7">
        <v>76</v>
      </c>
      <c r="F26" s="9">
        <v>59.642099999999999</v>
      </c>
      <c r="G26">
        <v>31.695799999999998</v>
      </c>
      <c r="H26">
        <v>39.113300000000002</v>
      </c>
      <c r="I26">
        <v>35.40455</v>
      </c>
      <c r="J26">
        <v>2.89</v>
      </c>
      <c r="K26" s="9">
        <v>1.4950000000000001</v>
      </c>
      <c r="L26" s="7">
        <v>3</v>
      </c>
      <c r="M26">
        <v>3</v>
      </c>
      <c r="N26" s="9">
        <v>0</v>
      </c>
    </row>
    <row r="27" spans="1:14" x14ac:dyDescent="0.25">
      <c r="A27" s="9" t="s">
        <v>120</v>
      </c>
      <c r="B27">
        <v>57.43</v>
      </c>
      <c r="C27" s="9" t="s">
        <v>171</v>
      </c>
      <c r="D27" s="7">
        <v>115</v>
      </c>
      <c r="E27" s="7">
        <v>77</v>
      </c>
      <c r="F27" s="9">
        <v>56.926000000000002</v>
      </c>
      <c r="G27">
        <v>1.9516</v>
      </c>
      <c r="H27">
        <v>15.7758</v>
      </c>
      <c r="I27">
        <v>8.8636999999999997</v>
      </c>
      <c r="J27">
        <v>4.3499999999999996</v>
      </c>
      <c r="K27" s="9">
        <v>0.98</v>
      </c>
      <c r="L27" s="7">
        <v>3</v>
      </c>
      <c r="M27">
        <v>3</v>
      </c>
      <c r="N27" s="9">
        <v>0</v>
      </c>
    </row>
    <row r="28" spans="1:14" x14ac:dyDescent="0.25">
      <c r="A28" s="9" t="s">
        <v>119</v>
      </c>
      <c r="B28">
        <v>50.13</v>
      </c>
      <c r="C28" s="9" t="s">
        <v>170</v>
      </c>
      <c r="D28" s="7">
        <v>125</v>
      </c>
      <c r="E28" s="7">
        <v>79</v>
      </c>
      <c r="F28" s="9">
        <v>62.240699999999997</v>
      </c>
      <c r="G28">
        <v>10.6096</v>
      </c>
      <c r="H28">
        <v>3.9327999999999999</v>
      </c>
      <c r="I28">
        <v>7.2712000000000003</v>
      </c>
      <c r="J28">
        <v>3.48</v>
      </c>
      <c r="K28" s="9">
        <v>0.84</v>
      </c>
      <c r="L28" s="7">
        <v>3</v>
      </c>
      <c r="M28">
        <v>3</v>
      </c>
      <c r="N28" s="9">
        <v>0</v>
      </c>
    </row>
    <row r="29" spans="1:14" x14ac:dyDescent="0.25">
      <c r="A29" s="9" t="s">
        <v>113</v>
      </c>
      <c r="B29">
        <v>57.62</v>
      </c>
      <c r="C29" s="9" t="s">
        <v>171</v>
      </c>
      <c r="D29" s="7">
        <v>126</v>
      </c>
      <c r="E29" s="7">
        <v>86</v>
      </c>
      <c r="F29" s="9">
        <v>51.813499999999998</v>
      </c>
      <c r="G29">
        <v>3.7614000000000001</v>
      </c>
      <c r="H29">
        <v>2.2073999999999998</v>
      </c>
      <c r="I29">
        <v>2.9843999999999999</v>
      </c>
      <c r="J29">
        <v>3.5350000000000001</v>
      </c>
      <c r="K29" s="9">
        <v>1.1400000000000001</v>
      </c>
      <c r="L29" s="7">
        <v>3</v>
      </c>
      <c r="M29">
        <v>3</v>
      </c>
      <c r="N29" s="9">
        <v>0</v>
      </c>
    </row>
    <row r="30" spans="1:14" x14ac:dyDescent="0.25">
      <c r="A30" s="9" t="s">
        <v>112</v>
      </c>
      <c r="B30">
        <v>57.5</v>
      </c>
      <c r="C30" s="9" t="s">
        <v>170</v>
      </c>
      <c r="D30" s="7">
        <v>110</v>
      </c>
      <c r="E30" s="7">
        <v>73</v>
      </c>
      <c r="F30" s="9">
        <v>61.099800000000002</v>
      </c>
      <c r="G30">
        <v>6.8602999999999996</v>
      </c>
      <c r="H30">
        <v>8.4533000000000005</v>
      </c>
      <c r="I30">
        <v>7.6568000000000005</v>
      </c>
      <c r="J30">
        <v>4.2050000000000001</v>
      </c>
      <c r="K30" s="9">
        <v>1.07</v>
      </c>
      <c r="L30" s="7">
        <v>3</v>
      </c>
      <c r="M30">
        <v>3</v>
      </c>
      <c r="N30" s="9">
        <v>0</v>
      </c>
    </row>
    <row r="31" spans="1:14" x14ac:dyDescent="0.25">
      <c r="A31" s="9" t="s">
        <v>111</v>
      </c>
      <c r="B31">
        <v>60.06</v>
      </c>
      <c r="C31" s="9" t="s">
        <v>171</v>
      </c>
      <c r="D31" s="7">
        <v>118</v>
      </c>
      <c r="E31" s="7">
        <v>73</v>
      </c>
      <c r="F31" s="9">
        <v>66.815100000000001</v>
      </c>
      <c r="G31">
        <v>7.6894</v>
      </c>
      <c r="H31">
        <v>7.6894</v>
      </c>
      <c r="I31">
        <v>7.6894</v>
      </c>
      <c r="J31">
        <v>3.1149999999999998</v>
      </c>
      <c r="K31" s="9">
        <v>1.125</v>
      </c>
      <c r="L31" s="7">
        <v>2</v>
      </c>
      <c r="M31">
        <v>3</v>
      </c>
      <c r="N31" s="9">
        <v>0</v>
      </c>
    </row>
    <row r="32" spans="1:14" x14ac:dyDescent="0.25">
      <c r="A32" s="9" t="s">
        <v>108</v>
      </c>
      <c r="B32">
        <v>59.09</v>
      </c>
      <c r="C32" s="9" t="s">
        <v>171</v>
      </c>
      <c r="D32" s="7">
        <v>112</v>
      </c>
      <c r="E32" s="7">
        <v>79</v>
      </c>
      <c r="F32" s="9">
        <v>54.945099999999996</v>
      </c>
      <c r="G32">
        <v>5.4067999999999996</v>
      </c>
      <c r="H32">
        <v>1.9522999999999999</v>
      </c>
      <c r="I32">
        <v>3.6795499999999999</v>
      </c>
      <c r="J32">
        <v>3.605</v>
      </c>
      <c r="K32" s="9">
        <v>1.05</v>
      </c>
      <c r="L32" s="7">
        <v>2</v>
      </c>
      <c r="M32">
        <v>3</v>
      </c>
      <c r="N32" s="9">
        <v>0</v>
      </c>
    </row>
    <row r="33" spans="1:14" x14ac:dyDescent="0.25">
      <c r="A33" s="10" t="s">
        <v>107</v>
      </c>
      <c r="B33" s="8">
        <v>56.24</v>
      </c>
      <c r="C33" s="10" t="s">
        <v>171</v>
      </c>
      <c r="D33" s="8">
        <v>107</v>
      </c>
      <c r="E33" s="8">
        <v>73</v>
      </c>
      <c r="F33" s="10">
        <v>68.649900000000002</v>
      </c>
      <c r="G33" s="8">
        <v>4.8650000000000002</v>
      </c>
      <c r="H33" s="8">
        <v>2.2050999999999998</v>
      </c>
      <c r="I33" s="8">
        <v>3.53505</v>
      </c>
      <c r="J33" s="8">
        <v>4.4849999999999994</v>
      </c>
      <c r="K33" s="10">
        <v>0.85499999999999998</v>
      </c>
      <c r="L33" s="8">
        <v>3</v>
      </c>
      <c r="M33" s="8">
        <v>3</v>
      </c>
      <c r="N33" s="10">
        <v>0</v>
      </c>
    </row>
    <row r="35" spans="1:14" x14ac:dyDescent="0.25">
      <c r="A35" s="14" t="str">
        <f>"# SUBJECTS= " &amp; COUNTA(A2:A33)</f>
        <v># SUBJECTS= 32</v>
      </c>
      <c r="C35" s="15" t="s">
        <v>171</v>
      </c>
    </row>
    <row r="36" spans="1:14" x14ac:dyDescent="0.25">
      <c r="A36" s="7" t="s">
        <v>178</v>
      </c>
      <c r="B36" s="11">
        <f>AVERAGE(B2:B33)</f>
        <v>57.488125000000004</v>
      </c>
      <c r="C36" s="16">
        <f>COUNTIF(C2:C33,"Female")</f>
        <v>24</v>
      </c>
      <c r="D36" s="11">
        <f t="shared" ref="D36:K36" si="0">AVERAGE(D2:D33)</f>
        <v>122.9375</v>
      </c>
      <c r="E36" s="11">
        <f t="shared" si="0"/>
        <v>79.03125</v>
      </c>
      <c r="F36" s="11">
        <f t="shared" si="0"/>
        <v>61.195787499999994</v>
      </c>
      <c r="G36" s="11">
        <f t="shared" si="0"/>
        <v>9.5463032258064509</v>
      </c>
      <c r="H36" s="11">
        <f t="shared" si="0"/>
        <v>11.621612499999996</v>
      </c>
      <c r="I36" s="11">
        <f t="shared" si="0"/>
        <v>10.527443749999998</v>
      </c>
      <c r="J36" s="11">
        <f t="shared" si="0"/>
        <v>3.4745312499999992</v>
      </c>
      <c r="K36" s="11">
        <f t="shared" si="0"/>
        <v>1.0996874999999997</v>
      </c>
    </row>
    <row r="37" spans="1:14" x14ac:dyDescent="0.25">
      <c r="A37" s="7" t="s">
        <v>179</v>
      </c>
      <c r="B37" s="11">
        <f>_xlfn.STDEV.S(B2:B33)</f>
        <v>4.8335950939500565</v>
      </c>
      <c r="C37" s="11"/>
      <c r="D37" s="11">
        <f t="shared" ref="D37:K37" si="1">_xlfn.STDEV.S(D2:D33)</f>
        <v>13.818961960922367</v>
      </c>
      <c r="E37" s="11">
        <f t="shared" si="1"/>
        <v>7.0366981580668879</v>
      </c>
      <c r="F37" s="11">
        <f t="shared" si="1"/>
        <v>10.864590760155037</v>
      </c>
      <c r="G37" s="11">
        <f t="shared" si="1"/>
        <v>8.6454343394065098</v>
      </c>
      <c r="H37" s="11">
        <f t="shared" si="1"/>
        <v>9.3779186396607663</v>
      </c>
      <c r="I37" s="11">
        <f t="shared" si="1"/>
        <v>7.1400080214076906</v>
      </c>
      <c r="J37" s="11">
        <f t="shared" si="1"/>
        <v>0.67975844781734063</v>
      </c>
      <c r="K37" s="11">
        <f t="shared" si="1"/>
        <v>0.20403564481442771</v>
      </c>
    </row>
    <row r="38" spans="1:14" x14ac:dyDescent="0.25">
      <c r="A38" s="7" t="s">
        <v>180</v>
      </c>
      <c r="B38" s="11">
        <f>MAX(B2:B33)</f>
        <v>64.89</v>
      </c>
      <c r="C38" s="11"/>
      <c r="D38" s="16">
        <f t="shared" ref="D38:K38" si="2">MAX(D2:D33)</f>
        <v>166</v>
      </c>
      <c r="E38" s="16">
        <f t="shared" si="2"/>
        <v>98</v>
      </c>
      <c r="F38" s="11">
        <f t="shared" si="2"/>
        <v>91.743099999999998</v>
      </c>
      <c r="G38" s="11">
        <f t="shared" si="2"/>
        <v>37.3917</v>
      </c>
      <c r="H38" s="11">
        <f t="shared" si="2"/>
        <v>39.113300000000002</v>
      </c>
      <c r="I38" s="11">
        <f t="shared" si="2"/>
        <v>35.40455</v>
      </c>
      <c r="J38" s="11">
        <f t="shared" si="2"/>
        <v>5.22</v>
      </c>
      <c r="K38" s="11">
        <f t="shared" si="2"/>
        <v>1.7250000000000001</v>
      </c>
    </row>
    <row r="39" spans="1:14" x14ac:dyDescent="0.25">
      <c r="A39" s="7" t="s">
        <v>181</v>
      </c>
      <c r="B39" s="11">
        <f>MIN(B2:B33)</f>
        <v>47.9</v>
      </c>
      <c r="C39" s="11"/>
      <c r="D39" s="16">
        <f t="shared" ref="D39:K39" si="3">MIN(D2:D33)</f>
        <v>101</v>
      </c>
      <c r="E39" s="16">
        <f t="shared" si="3"/>
        <v>66</v>
      </c>
      <c r="F39" s="11">
        <f t="shared" si="3"/>
        <v>47.543599999999998</v>
      </c>
      <c r="G39" s="11">
        <f t="shared" si="3"/>
        <v>1.9516</v>
      </c>
      <c r="H39" s="11">
        <f t="shared" si="3"/>
        <v>1.9522999999999999</v>
      </c>
      <c r="I39" s="11">
        <f t="shared" si="3"/>
        <v>2.9843999999999999</v>
      </c>
      <c r="J39" s="11">
        <f t="shared" si="3"/>
        <v>2.3050000000000002</v>
      </c>
      <c r="K39" s="11">
        <f t="shared" si="3"/>
        <v>0.81</v>
      </c>
    </row>
  </sheetData>
  <sortState xmlns:xlrd2="http://schemas.microsoft.com/office/spreadsheetml/2017/richdata2" ref="A2:J34">
    <sortCondition descending="1" ref="A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1"/>
  <sheetViews>
    <sheetView workbookViewId="0">
      <selection activeCell="P32" sqref="P32"/>
    </sheetView>
  </sheetViews>
  <sheetFormatPr defaultRowHeight="15" x14ac:dyDescent="0.25"/>
  <cols>
    <col min="1" max="1" width="15.85546875" customWidth="1"/>
    <col min="2" max="3" width="11.5703125" customWidth="1"/>
    <col min="4" max="4" width="9.140625" style="7"/>
    <col min="6" max="6" width="9.85546875" style="7" customWidth="1"/>
    <col min="7" max="9" width="12.140625" customWidth="1"/>
    <col min="10" max="11" width="17.28515625" style="7" customWidth="1"/>
    <col min="12" max="12" width="9.140625" style="7"/>
    <col min="14" max="14" width="15.28515625" customWidth="1"/>
    <col min="15" max="15" width="12.28515625" style="7" customWidth="1"/>
    <col min="16" max="16" width="11.42578125" customWidth="1"/>
  </cols>
  <sheetData>
    <row r="1" spans="1:16" x14ac:dyDescent="0.25">
      <c r="A1" s="10" t="s">
        <v>28</v>
      </c>
      <c r="B1" s="8" t="s">
        <v>162</v>
      </c>
      <c r="C1" s="10" t="s">
        <v>169</v>
      </c>
      <c r="D1" s="8" t="s">
        <v>167</v>
      </c>
      <c r="E1" s="8" t="s">
        <v>168</v>
      </c>
      <c r="F1" s="10" t="s">
        <v>174</v>
      </c>
      <c r="G1" s="8" t="s">
        <v>29</v>
      </c>
      <c r="H1" s="8" t="s">
        <v>30</v>
      </c>
      <c r="I1" s="8" t="s">
        <v>31</v>
      </c>
      <c r="J1" s="8" t="s">
        <v>163</v>
      </c>
      <c r="K1" s="10" t="s">
        <v>164</v>
      </c>
      <c r="L1" s="8" t="s">
        <v>172</v>
      </c>
      <c r="M1" s="8" t="s">
        <v>173</v>
      </c>
      <c r="N1" s="10" t="s">
        <v>175</v>
      </c>
      <c r="O1" s="8" t="s">
        <v>176</v>
      </c>
      <c r="P1" s="10" t="s">
        <v>177</v>
      </c>
    </row>
    <row r="2" spans="1:16" x14ac:dyDescent="0.25">
      <c r="A2" s="9" t="s">
        <v>151</v>
      </c>
      <c r="B2" s="6">
        <v>55.23</v>
      </c>
      <c r="C2" s="9" t="s">
        <v>171</v>
      </c>
      <c r="D2" s="7">
        <v>134</v>
      </c>
      <c r="E2" s="7">
        <v>86</v>
      </c>
      <c r="F2" s="9">
        <v>52.7241</v>
      </c>
      <c r="G2">
        <v>20.6876</v>
      </c>
      <c r="H2">
        <v>12.3596</v>
      </c>
      <c r="I2">
        <v>16.523599999999998</v>
      </c>
      <c r="J2" s="7">
        <v>3.38</v>
      </c>
      <c r="K2" s="9">
        <v>1.04</v>
      </c>
      <c r="L2" s="7">
        <v>4</v>
      </c>
      <c r="M2">
        <v>4</v>
      </c>
      <c r="N2" s="9">
        <v>1</v>
      </c>
      <c r="O2" s="1">
        <v>1</v>
      </c>
      <c r="P2" s="9">
        <v>0</v>
      </c>
    </row>
    <row r="3" spans="1:16" x14ac:dyDescent="0.25">
      <c r="A3" s="9" t="s">
        <v>150</v>
      </c>
      <c r="B3" s="6">
        <v>57.26</v>
      </c>
      <c r="C3" s="9" t="s">
        <v>171</v>
      </c>
      <c r="D3" s="7">
        <v>122</v>
      </c>
      <c r="E3" s="7">
        <v>77</v>
      </c>
      <c r="F3" s="9">
        <v>61.855699999999999</v>
      </c>
      <c r="G3">
        <v>2.4203999999999999</v>
      </c>
      <c r="H3">
        <v>4.1955999999999998</v>
      </c>
      <c r="I3">
        <v>3.3079999999999998</v>
      </c>
      <c r="J3" s="7">
        <v>4.2650000000000006</v>
      </c>
      <c r="K3" s="9">
        <v>1.3050000000000002</v>
      </c>
      <c r="L3" s="7">
        <v>3</v>
      </c>
      <c r="M3">
        <v>4</v>
      </c>
      <c r="N3" s="9">
        <v>1</v>
      </c>
      <c r="O3" s="7">
        <v>1</v>
      </c>
      <c r="P3" s="9">
        <v>0</v>
      </c>
    </row>
    <row r="4" spans="1:16" x14ac:dyDescent="0.25">
      <c r="A4" s="9" t="s">
        <v>148</v>
      </c>
      <c r="B4" s="6">
        <v>56.49</v>
      </c>
      <c r="C4" s="9" t="s">
        <v>171</v>
      </c>
      <c r="D4" s="7">
        <v>118</v>
      </c>
      <c r="E4" s="7">
        <v>73</v>
      </c>
      <c r="F4" s="9">
        <v>65.075900000000004</v>
      </c>
      <c r="G4">
        <v>6.2767999999999997</v>
      </c>
      <c r="H4">
        <v>19.603200000000001</v>
      </c>
      <c r="I4">
        <v>12.94</v>
      </c>
      <c r="J4" s="7">
        <v>3.6100000000000003</v>
      </c>
      <c r="K4" s="9">
        <v>1.08</v>
      </c>
      <c r="L4" s="7">
        <v>3</v>
      </c>
      <c r="M4">
        <v>4</v>
      </c>
      <c r="N4" s="9">
        <v>1</v>
      </c>
      <c r="O4" s="7">
        <v>1</v>
      </c>
      <c r="P4" s="9">
        <v>0</v>
      </c>
    </row>
    <row r="5" spans="1:16" x14ac:dyDescent="0.25">
      <c r="A5" s="9" t="s">
        <v>145</v>
      </c>
      <c r="B5" s="6">
        <v>51.78</v>
      </c>
      <c r="C5" s="9" t="s">
        <v>171</v>
      </c>
      <c r="D5" s="7">
        <v>116</v>
      </c>
      <c r="E5" s="7">
        <v>78</v>
      </c>
      <c r="F5" s="9">
        <v>66.079300000000003</v>
      </c>
      <c r="G5">
        <v>6.4165000000000001</v>
      </c>
      <c r="H5">
        <v>37.4816</v>
      </c>
      <c r="I5">
        <v>21.94905</v>
      </c>
      <c r="J5" s="7">
        <v>4.34</v>
      </c>
      <c r="K5" s="9">
        <v>1.04</v>
      </c>
      <c r="L5" s="7">
        <v>3</v>
      </c>
      <c r="M5">
        <v>4</v>
      </c>
      <c r="N5" s="9">
        <v>1</v>
      </c>
      <c r="O5" s="7">
        <v>1</v>
      </c>
      <c r="P5" s="9">
        <v>0</v>
      </c>
    </row>
    <row r="6" spans="1:16" x14ac:dyDescent="0.25">
      <c r="A6" s="9" t="s">
        <v>137</v>
      </c>
      <c r="B6" s="6">
        <v>55.61</v>
      </c>
      <c r="C6" s="9" t="s">
        <v>171</v>
      </c>
      <c r="D6" s="7">
        <v>113</v>
      </c>
      <c r="E6" s="7">
        <v>75</v>
      </c>
      <c r="F6" s="9">
        <v>52.173900000000003</v>
      </c>
      <c r="G6">
        <v>20.157599999999999</v>
      </c>
      <c r="H6">
        <v>6.6829000000000001</v>
      </c>
      <c r="I6">
        <v>13.420249999999999</v>
      </c>
      <c r="J6" s="7">
        <v>5.125</v>
      </c>
      <c r="K6" s="9">
        <v>0.92</v>
      </c>
      <c r="L6" s="7">
        <v>4</v>
      </c>
      <c r="M6">
        <v>4</v>
      </c>
      <c r="N6" s="9">
        <v>1</v>
      </c>
      <c r="O6" s="7">
        <v>1</v>
      </c>
      <c r="P6" s="9">
        <v>0</v>
      </c>
    </row>
    <row r="7" spans="1:16" x14ac:dyDescent="0.25">
      <c r="A7" s="9" t="s">
        <v>143</v>
      </c>
      <c r="B7" s="6">
        <v>55.62</v>
      </c>
      <c r="C7" s="9" t="s">
        <v>170</v>
      </c>
      <c r="D7" s="7">
        <v>118</v>
      </c>
      <c r="E7" s="7">
        <v>74</v>
      </c>
      <c r="F7" s="9">
        <v>50.167200000000001</v>
      </c>
      <c r="G7">
        <v>19.684200000000001</v>
      </c>
      <c r="H7">
        <v>31.090900000000001</v>
      </c>
      <c r="I7">
        <v>25.387550000000001</v>
      </c>
      <c r="J7" s="7">
        <v>3.9550000000000001</v>
      </c>
      <c r="K7" s="9">
        <v>1.08</v>
      </c>
      <c r="L7" s="7">
        <v>3</v>
      </c>
      <c r="M7">
        <v>4</v>
      </c>
      <c r="N7" s="9">
        <v>1</v>
      </c>
      <c r="O7" s="7">
        <v>1</v>
      </c>
      <c r="P7" s="9">
        <v>0</v>
      </c>
    </row>
    <row r="8" spans="1:16" x14ac:dyDescent="0.25">
      <c r="A8" s="9" t="s">
        <v>142</v>
      </c>
      <c r="B8" s="6">
        <v>55.34</v>
      </c>
      <c r="C8" s="9" t="s">
        <v>171</v>
      </c>
      <c r="D8" s="7">
        <v>106</v>
      </c>
      <c r="E8" s="7">
        <v>66</v>
      </c>
      <c r="F8" s="9">
        <v>62.893099999999997</v>
      </c>
      <c r="G8">
        <v>3.9171</v>
      </c>
      <c r="H8">
        <v>45.831800000000001</v>
      </c>
      <c r="I8">
        <v>24.87445</v>
      </c>
      <c r="J8" s="7">
        <v>3.2350000000000003</v>
      </c>
      <c r="K8" s="9">
        <v>1</v>
      </c>
      <c r="L8" s="7">
        <v>3</v>
      </c>
      <c r="M8">
        <v>4</v>
      </c>
      <c r="N8" s="9">
        <v>1</v>
      </c>
      <c r="O8" s="7">
        <v>1</v>
      </c>
      <c r="P8" s="9">
        <v>0</v>
      </c>
    </row>
    <row r="9" spans="1:16" x14ac:dyDescent="0.25">
      <c r="A9" s="9" t="s">
        <v>159</v>
      </c>
      <c r="B9" s="6">
        <v>63.24</v>
      </c>
      <c r="C9" s="9" t="s">
        <v>171</v>
      </c>
      <c r="D9" s="7">
        <v>116</v>
      </c>
      <c r="E9" s="7">
        <v>70</v>
      </c>
      <c r="F9" s="9">
        <v>65.934100000000001</v>
      </c>
      <c r="G9">
        <v>16.8872</v>
      </c>
      <c r="H9">
        <v>11.3254</v>
      </c>
      <c r="I9">
        <v>14.106299999999999</v>
      </c>
      <c r="J9" s="7">
        <v>3.665</v>
      </c>
      <c r="K9" s="9">
        <v>1.3900000000000001</v>
      </c>
      <c r="L9" s="7">
        <v>2</v>
      </c>
      <c r="M9">
        <v>4</v>
      </c>
      <c r="N9" s="9">
        <v>1</v>
      </c>
      <c r="O9" s="7">
        <v>1</v>
      </c>
      <c r="P9" s="9">
        <v>0</v>
      </c>
    </row>
    <row r="10" spans="1:16" x14ac:dyDescent="0.25">
      <c r="A10" s="9" t="s">
        <v>158</v>
      </c>
      <c r="B10" s="6">
        <v>61.52</v>
      </c>
      <c r="C10" s="9" t="s">
        <v>171</v>
      </c>
      <c r="D10" s="7">
        <v>134</v>
      </c>
      <c r="E10" s="7">
        <v>74</v>
      </c>
      <c r="F10" s="9">
        <v>68.649900000000002</v>
      </c>
      <c r="G10">
        <v>9.4351000000000003</v>
      </c>
      <c r="H10">
        <v>10.192</v>
      </c>
      <c r="I10">
        <v>9.8135499999999993</v>
      </c>
      <c r="J10" s="7">
        <v>2.8049999999999997</v>
      </c>
      <c r="K10" s="9">
        <v>1.375</v>
      </c>
      <c r="L10" s="7">
        <v>3</v>
      </c>
      <c r="M10">
        <v>4</v>
      </c>
      <c r="N10" s="9">
        <v>1</v>
      </c>
      <c r="O10" s="7">
        <v>1</v>
      </c>
      <c r="P10" s="9">
        <v>0</v>
      </c>
    </row>
    <row r="11" spans="1:16" x14ac:dyDescent="0.25">
      <c r="A11" s="9" t="s">
        <v>157</v>
      </c>
      <c r="B11" s="6">
        <v>61.57</v>
      </c>
      <c r="C11" s="9"/>
      <c r="F11" s="9">
        <v>55.045900000000003</v>
      </c>
      <c r="G11">
        <v>9.3819999999999997</v>
      </c>
      <c r="H11">
        <v>7.5758000000000001</v>
      </c>
      <c r="I11">
        <v>8.4788999999999994</v>
      </c>
      <c r="J11" s="7">
        <v>4.4050000000000002</v>
      </c>
      <c r="K11" s="9">
        <v>0.995</v>
      </c>
      <c r="L11" s="7">
        <v>3</v>
      </c>
      <c r="M11">
        <v>4</v>
      </c>
      <c r="N11" s="9">
        <v>1</v>
      </c>
      <c r="O11" s="7">
        <v>1</v>
      </c>
      <c r="P11" s="9">
        <v>1</v>
      </c>
    </row>
    <row r="12" spans="1:16" x14ac:dyDescent="0.25">
      <c r="A12" s="9" t="s">
        <v>156</v>
      </c>
      <c r="B12" s="6">
        <v>62.34</v>
      </c>
      <c r="C12" s="9" t="s">
        <v>171</v>
      </c>
      <c r="D12" s="7">
        <v>113</v>
      </c>
      <c r="E12" s="7">
        <v>72</v>
      </c>
      <c r="F12" s="9">
        <v>53.763399999999997</v>
      </c>
      <c r="G12">
        <v>22.857099999999999</v>
      </c>
      <c r="H12">
        <v>39.729999999999997</v>
      </c>
      <c r="I12">
        <v>31.29355</v>
      </c>
      <c r="J12" s="7">
        <v>4.78</v>
      </c>
      <c r="K12" s="9">
        <v>0.86</v>
      </c>
      <c r="L12" s="7">
        <v>3</v>
      </c>
      <c r="M12">
        <v>4</v>
      </c>
      <c r="N12" s="9">
        <v>1</v>
      </c>
      <c r="O12" s="7">
        <v>1</v>
      </c>
      <c r="P12" s="9">
        <v>1</v>
      </c>
    </row>
    <row r="13" spans="1:16" x14ac:dyDescent="0.25">
      <c r="A13" s="9" t="s">
        <v>155</v>
      </c>
      <c r="B13" s="6">
        <v>60.47</v>
      </c>
      <c r="C13" s="9" t="s">
        <v>171</v>
      </c>
      <c r="D13" s="7">
        <v>130</v>
      </c>
      <c r="E13" s="7">
        <v>74</v>
      </c>
      <c r="F13" s="9">
        <v>70.422499999999999</v>
      </c>
      <c r="G13">
        <v>30.149100000000001</v>
      </c>
      <c r="H13">
        <v>28.202100000000002</v>
      </c>
      <c r="I13">
        <v>29.175599999999999</v>
      </c>
      <c r="J13" s="7">
        <v>4.8499999999999996</v>
      </c>
      <c r="K13" s="9">
        <v>1.1000000000000001</v>
      </c>
      <c r="L13" s="7">
        <v>3</v>
      </c>
      <c r="M13">
        <v>4</v>
      </c>
      <c r="N13" s="9">
        <v>1</v>
      </c>
      <c r="O13" s="7">
        <v>1</v>
      </c>
      <c r="P13" s="9">
        <v>1</v>
      </c>
    </row>
    <row r="14" spans="1:16" x14ac:dyDescent="0.25">
      <c r="A14" s="9" t="s">
        <v>154</v>
      </c>
      <c r="B14" s="6">
        <v>57</v>
      </c>
      <c r="C14" s="9" t="s">
        <v>171</v>
      </c>
      <c r="D14" s="7">
        <v>115</v>
      </c>
      <c r="E14" s="7">
        <v>78</v>
      </c>
      <c r="F14" s="9">
        <v>58.823500000000003</v>
      </c>
      <c r="G14">
        <v>44.6374</v>
      </c>
      <c r="H14">
        <v>15.1501</v>
      </c>
      <c r="I14">
        <v>29.893750000000001</v>
      </c>
      <c r="J14" s="7">
        <v>4.1900000000000004</v>
      </c>
      <c r="K14" s="9">
        <v>0.87</v>
      </c>
      <c r="L14" s="7">
        <v>4</v>
      </c>
      <c r="M14">
        <v>4</v>
      </c>
      <c r="N14" s="9">
        <v>1</v>
      </c>
      <c r="O14" s="7">
        <v>1</v>
      </c>
      <c r="P14" s="9">
        <v>1</v>
      </c>
    </row>
    <row r="15" spans="1:16" x14ac:dyDescent="0.25">
      <c r="A15" s="9" t="s">
        <v>152</v>
      </c>
      <c r="B15" s="6">
        <v>61.49</v>
      </c>
      <c r="C15" s="9" t="s">
        <v>171</v>
      </c>
      <c r="D15" s="7">
        <v>147</v>
      </c>
      <c r="E15" s="7">
        <v>92</v>
      </c>
      <c r="F15" s="9">
        <v>69.284099999999995</v>
      </c>
      <c r="G15">
        <v>34.1297</v>
      </c>
      <c r="H15">
        <v>22.454799999999999</v>
      </c>
      <c r="I15">
        <v>28.292249999999999</v>
      </c>
      <c r="J15" s="7">
        <v>2.69</v>
      </c>
      <c r="K15" s="9">
        <v>1.085</v>
      </c>
      <c r="L15" s="7">
        <v>3</v>
      </c>
      <c r="M15">
        <v>4</v>
      </c>
      <c r="N15" s="9">
        <v>1</v>
      </c>
      <c r="O15" s="7">
        <v>1</v>
      </c>
      <c r="P15" s="9">
        <v>1</v>
      </c>
    </row>
    <row r="16" spans="1:16" x14ac:dyDescent="0.25">
      <c r="A16" s="9" t="s">
        <v>149</v>
      </c>
      <c r="B16">
        <v>59.54</v>
      </c>
      <c r="C16" s="9" t="s">
        <v>171</v>
      </c>
      <c r="D16" s="7">
        <v>127</v>
      </c>
      <c r="E16" s="7">
        <v>84</v>
      </c>
      <c r="F16" s="9">
        <v>61.4754</v>
      </c>
      <c r="H16">
        <v>4.9824999999999999</v>
      </c>
      <c r="I16">
        <v>4.9824999999999999</v>
      </c>
      <c r="J16">
        <v>3.9249999999999998</v>
      </c>
      <c r="K16" s="9">
        <v>1.1549999999999998</v>
      </c>
      <c r="L16" s="7">
        <v>3</v>
      </c>
      <c r="M16">
        <v>4</v>
      </c>
      <c r="N16" s="9">
        <v>1</v>
      </c>
      <c r="O16" s="7">
        <v>1</v>
      </c>
      <c r="P16" s="9">
        <v>1</v>
      </c>
    </row>
    <row r="17" spans="1:16" x14ac:dyDescent="0.25">
      <c r="A17" s="9" t="s">
        <v>147</v>
      </c>
      <c r="B17">
        <v>61.22</v>
      </c>
      <c r="C17" s="9" t="s">
        <v>170</v>
      </c>
      <c r="D17" s="7">
        <v>135</v>
      </c>
      <c r="E17" s="7">
        <v>89</v>
      </c>
      <c r="F17" s="9">
        <v>78.125</v>
      </c>
      <c r="G17">
        <v>12.093999999999999</v>
      </c>
      <c r="H17">
        <v>43.305999999999997</v>
      </c>
      <c r="I17">
        <v>27.7</v>
      </c>
      <c r="J17">
        <v>4.4050000000000002</v>
      </c>
      <c r="K17" s="9">
        <v>0.98</v>
      </c>
      <c r="L17" s="7">
        <v>4</v>
      </c>
      <c r="M17">
        <v>4</v>
      </c>
      <c r="N17" s="9">
        <v>1</v>
      </c>
      <c r="O17" s="7">
        <v>1</v>
      </c>
      <c r="P17" s="9">
        <v>1</v>
      </c>
    </row>
    <row r="18" spans="1:16" x14ac:dyDescent="0.25">
      <c r="A18" s="9" t="s">
        <v>146</v>
      </c>
      <c r="B18">
        <v>58.91</v>
      </c>
      <c r="C18" s="9" t="s">
        <v>170</v>
      </c>
      <c r="D18" s="7">
        <v>125</v>
      </c>
      <c r="E18" s="7">
        <v>77</v>
      </c>
      <c r="F18" s="9">
        <v>72.463800000000006</v>
      </c>
      <c r="G18">
        <v>24.4133</v>
      </c>
      <c r="H18">
        <v>7.0721999999999996</v>
      </c>
      <c r="I18">
        <v>15.742749999999999</v>
      </c>
      <c r="J18">
        <v>3.625</v>
      </c>
      <c r="K18" s="9">
        <v>0.98499999999999999</v>
      </c>
      <c r="L18" s="7">
        <v>3</v>
      </c>
      <c r="M18">
        <v>4</v>
      </c>
      <c r="N18" s="9">
        <v>1</v>
      </c>
      <c r="O18" s="7">
        <v>1</v>
      </c>
      <c r="P18" s="9">
        <v>0</v>
      </c>
    </row>
    <row r="19" spans="1:16" x14ac:dyDescent="0.25">
      <c r="A19" s="9" t="s">
        <v>141</v>
      </c>
      <c r="B19">
        <v>57.64</v>
      </c>
      <c r="C19" s="9" t="s">
        <v>170</v>
      </c>
      <c r="D19" s="7">
        <v>109</v>
      </c>
      <c r="E19" s="7">
        <v>72</v>
      </c>
      <c r="F19" s="9">
        <v>59.055100000000003</v>
      </c>
      <c r="G19">
        <v>19.2439</v>
      </c>
      <c r="H19">
        <v>16.844100000000001</v>
      </c>
      <c r="I19">
        <v>18.044</v>
      </c>
      <c r="J19">
        <v>3.0250000000000004</v>
      </c>
      <c r="K19" s="9">
        <v>1.08</v>
      </c>
      <c r="L19" s="7">
        <v>3</v>
      </c>
      <c r="M19">
        <v>4</v>
      </c>
      <c r="N19" s="9">
        <v>1</v>
      </c>
      <c r="O19" s="7">
        <v>1</v>
      </c>
      <c r="P19" s="9">
        <v>0</v>
      </c>
    </row>
    <row r="20" spans="1:16" x14ac:dyDescent="0.25">
      <c r="A20" s="9" t="s">
        <v>140</v>
      </c>
      <c r="B20">
        <v>62.7</v>
      </c>
      <c r="C20" s="9" t="s">
        <v>170</v>
      </c>
      <c r="D20" s="7">
        <v>128</v>
      </c>
      <c r="E20" s="7">
        <v>67</v>
      </c>
      <c r="F20" s="9">
        <v>56.1798</v>
      </c>
      <c r="G20">
        <v>9.5108999999999995</v>
      </c>
      <c r="H20">
        <v>36.7851</v>
      </c>
      <c r="I20">
        <v>23.148</v>
      </c>
      <c r="J20">
        <v>4.1849999999999996</v>
      </c>
      <c r="K20" s="9">
        <v>1.125</v>
      </c>
      <c r="L20" s="7">
        <v>2</v>
      </c>
      <c r="M20">
        <v>4</v>
      </c>
      <c r="N20" s="9">
        <v>1</v>
      </c>
      <c r="O20" s="7">
        <v>1</v>
      </c>
      <c r="P20" s="9">
        <v>0</v>
      </c>
    </row>
    <row r="21" spans="1:16" x14ac:dyDescent="0.25">
      <c r="A21" s="9" t="s">
        <v>153</v>
      </c>
      <c r="B21">
        <v>63.15</v>
      </c>
      <c r="C21" s="9" t="s">
        <v>170</v>
      </c>
      <c r="D21" s="7">
        <v>128</v>
      </c>
      <c r="E21" s="7">
        <v>64</v>
      </c>
      <c r="F21" s="9">
        <v>65.934100000000001</v>
      </c>
      <c r="G21">
        <v>28.2926</v>
      </c>
      <c r="H21">
        <v>8.5684000000000005</v>
      </c>
      <c r="I21">
        <v>18.430499999999999</v>
      </c>
      <c r="J21">
        <v>3.76</v>
      </c>
      <c r="K21" s="9">
        <v>1.1499999999999999</v>
      </c>
      <c r="L21" s="7">
        <v>3</v>
      </c>
      <c r="M21">
        <v>4</v>
      </c>
      <c r="N21" s="9">
        <v>1</v>
      </c>
      <c r="O21" s="7">
        <v>1</v>
      </c>
      <c r="P21" s="9">
        <v>0</v>
      </c>
    </row>
    <row r="22" spans="1:16" x14ac:dyDescent="0.25">
      <c r="A22" s="9" t="s">
        <v>144</v>
      </c>
      <c r="B22">
        <v>54.13</v>
      </c>
      <c r="C22" s="9" t="s">
        <v>171</v>
      </c>
      <c r="D22" s="7">
        <v>104</v>
      </c>
      <c r="E22" s="7">
        <v>73</v>
      </c>
      <c r="F22" s="9">
        <v>52.447600000000001</v>
      </c>
      <c r="G22">
        <v>20.8264</v>
      </c>
      <c r="H22">
        <v>32.542700000000004</v>
      </c>
      <c r="I22">
        <v>26.684550000000002</v>
      </c>
      <c r="J22">
        <v>5.48</v>
      </c>
      <c r="K22" s="9">
        <v>0.8</v>
      </c>
      <c r="L22" s="7">
        <v>3</v>
      </c>
      <c r="M22">
        <v>4</v>
      </c>
      <c r="N22" s="9">
        <v>1</v>
      </c>
      <c r="O22" s="7">
        <v>1</v>
      </c>
      <c r="P22" s="9">
        <v>0</v>
      </c>
    </row>
    <row r="23" spans="1:16" x14ac:dyDescent="0.25">
      <c r="A23" s="9" t="s">
        <v>139</v>
      </c>
      <c r="B23">
        <v>59.97</v>
      </c>
      <c r="C23" s="9" t="s">
        <v>171</v>
      </c>
      <c r="D23" s="7">
        <v>125</v>
      </c>
      <c r="E23" s="7">
        <v>84</v>
      </c>
      <c r="F23" s="9">
        <v>82.644599999999997</v>
      </c>
      <c r="G23">
        <v>26.260999999999999</v>
      </c>
      <c r="H23">
        <v>15.17</v>
      </c>
      <c r="I23">
        <v>20.715499999999999</v>
      </c>
      <c r="J23" s="7">
        <v>2.6850000000000001</v>
      </c>
      <c r="K23" s="9">
        <v>1.08</v>
      </c>
      <c r="L23" s="7">
        <v>2</v>
      </c>
      <c r="M23">
        <v>4</v>
      </c>
      <c r="N23" s="9">
        <v>1</v>
      </c>
      <c r="O23" s="7">
        <v>1</v>
      </c>
      <c r="P23" s="9">
        <v>0</v>
      </c>
    </row>
    <row r="24" spans="1:16" x14ac:dyDescent="0.25">
      <c r="A24" s="9" t="s">
        <v>138</v>
      </c>
      <c r="B24">
        <v>60.85</v>
      </c>
      <c r="C24" s="9" t="s">
        <v>171</v>
      </c>
      <c r="D24" s="7">
        <v>124</v>
      </c>
      <c r="E24" s="7">
        <v>79</v>
      </c>
      <c r="F24" s="9">
        <v>79.365099999999998</v>
      </c>
      <c r="G24">
        <v>8.5860000000000003</v>
      </c>
      <c r="H24">
        <v>18.442499999999999</v>
      </c>
      <c r="I24">
        <v>13.514250000000001</v>
      </c>
      <c r="J24" s="7">
        <v>4.24</v>
      </c>
      <c r="K24" s="9">
        <v>0.93500000000000005</v>
      </c>
      <c r="L24" s="7">
        <v>3</v>
      </c>
      <c r="M24">
        <v>4</v>
      </c>
      <c r="N24" s="9">
        <v>1</v>
      </c>
      <c r="O24" s="7">
        <v>1</v>
      </c>
      <c r="P24" s="9">
        <v>1</v>
      </c>
    </row>
    <row r="25" spans="1:16" x14ac:dyDescent="0.25">
      <c r="A25" s="10" t="s">
        <v>160</v>
      </c>
      <c r="B25" s="8">
        <v>64.69</v>
      </c>
      <c r="C25" s="10" t="s">
        <v>171</v>
      </c>
      <c r="D25" s="8">
        <v>120</v>
      </c>
      <c r="E25" s="8">
        <v>80</v>
      </c>
      <c r="F25" s="10">
        <v>67.567599999999999</v>
      </c>
      <c r="G25" s="8">
        <v>9.7850999999999999</v>
      </c>
      <c r="H25" s="8">
        <v>13.8377</v>
      </c>
      <c r="I25" s="8">
        <v>11.811400000000001</v>
      </c>
      <c r="J25" s="8">
        <v>3.89</v>
      </c>
      <c r="K25" s="10">
        <v>1.04</v>
      </c>
      <c r="L25" s="8">
        <v>3</v>
      </c>
      <c r="M25" s="8">
        <v>4</v>
      </c>
      <c r="N25" s="10">
        <v>1</v>
      </c>
      <c r="O25" s="8">
        <v>1</v>
      </c>
      <c r="P25" s="10">
        <v>1</v>
      </c>
    </row>
    <row r="27" spans="1:16" x14ac:dyDescent="0.25">
      <c r="A27" s="14" t="str">
        <f>"# SUBJECTS= " &amp; COUNTA(A2:A25)</f>
        <v># SUBJECTS= 24</v>
      </c>
      <c r="C27" s="15" t="s">
        <v>171</v>
      </c>
    </row>
    <row r="28" spans="1:16" x14ac:dyDescent="0.25">
      <c r="A28" s="7" t="s">
        <v>178</v>
      </c>
      <c r="B28" s="11">
        <f>AVERAGE(B2:B25)</f>
        <v>59.073333333333352</v>
      </c>
      <c r="C28" s="16">
        <f>COUNTIF(C5:C25,"Female")</f>
        <v>14</v>
      </c>
      <c r="D28" s="11">
        <f t="shared" ref="D28:K28" si="0">AVERAGE(D2:D25)</f>
        <v>122.04347826086956</v>
      </c>
      <c r="E28" s="11">
        <f t="shared" si="0"/>
        <v>76.434782608695656</v>
      </c>
      <c r="F28" s="11">
        <f t="shared" si="0"/>
        <v>63.672945833333351</v>
      </c>
      <c r="G28" s="11">
        <f t="shared" si="0"/>
        <v>17.654391304347829</v>
      </c>
      <c r="H28" s="11">
        <f t="shared" si="0"/>
        <v>20.392791666666668</v>
      </c>
      <c r="I28" s="11">
        <f t="shared" si="0"/>
        <v>18.759593750000004</v>
      </c>
      <c r="J28" s="11">
        <f t="shared" si="0"/>
        <v>3.9381250000000008</v>
      </c>
      <c r="K28" s="11">
        <f t="shared" si="0"/>
        <v>1.0612499999999998</v>
      </c>
    </row>
    <row r="29" spans="1:16" x14ac:dyDescent="0.25">
      <c r="A29" s="7" t="s">
        <v>179</v>
      </c>
      <c r="B29" s="11">
        <f>_xlfn.STDEV.S(B2:B25)</f>
        <v>3.3927552823327973</v>
      </c>
      <c r="C29" s="11"/>
      <c r="D29" s="11">
        <f t="shared" ref="D29:K29" si="1">_xlfn.STDEV.S(D2:D25)</f>
        <v>10.297741415517752</v>
      </c>
      <c r="E29" s="11">
        <f t="shared" si="1"/>
        <v>7.0956202045315617</v>
      </c>
      <c r="F29" s="11">
        <f t="shared" si="1"/>
        <v>9.0172424485334748</v>
      </c>
      <c r="G29" s="11">
        <f t="shared" si="1"/>
        <v>10.664956075983071</v>
      </c>
      <c r="H29" s="11">
        <f t="shared" si="1"/>
        <v>13.136414247192441</v>
      </c>
      <c r="I29" s="11">
        <f t="shared" si="1"/>
        <v>8.1469488591063257</v>
      </c>
      <c r="J29" s="11">
        <f t="shared" si="1"/>
        <v>0.74052685783427619</v>
      </c>
      <c r="K29" s="11">
        <f t="shared" si="1"/>
        <v>0.14644519675350992</v>
      </c>
    </row>
    <row r="30" spans="1:16" x14ac:dyDescent="0.25">
      <c r="A30" s="7" t="s">
        <v>180</v>
      </c>
      <c r="B30" s="7">
        <f>MAX(B2:B25)</f>
        <v>64.69</v>
      </c>
      <c r="C30" s="7"/>
      <c r="D30" s="7">
        <f t="shared" ref="D30:K30" si="2">MAX(D2:D25)</f>
        <v>147</v>
      </c>
      <c r="E30" s="7">
        <f t="shared" si="2"/>
        <v>92</v>
      </c>
      <c r="F30" s="11">
        <f t="shared" si="2"/>
        <v>82.644599999999997</v>
      </c>
      <c r="G30" s="11">
        <f t="shared" si="2"/>
        <v>44.6374</v>
      </c>
      <c r="H30" s="11">
        <f t="shared" si="2"/>
        <v>45.831800000000001</v>
      </c>
      <c r="I30" s="11">
        <f t="shared" si="2"/>
        <v>31.29355</v>
      </c>
      <c r="J30" s="11">
        <f t="shared" si="2"/>
        <v>5.48</v>
      </c>
      <c r="K30" s="11">
        <f t="shared" si="2"/>
        <v>1.3900000000000001</v>
      </c>
    </row>
    <row r="31" spans="1:16" x14ac:dyDescent="0.25">
      <c r="A31" s="7" t="s">
        <v>181</v>
      </c>
      <c r="B31" s="7">
        <f>MIN(B2:B25)</f>
        <v>51.78</v>
      </c>
      <c r="C31" s="7"/>
      <c r="D31" s="7">
        <f t="shared" ref="D31:K31" si="3">MIN(D2:D25)</f>
        <v>104</v>
      </c>
      <c r="E31" s="7">
        <f t="shared" si="3"/>
        <v>64</v>
      </c>
      <c r="F31" s="11">
        <f t="shared" si="3"/>
        <v>50.167200000000001</v>
      </c>
      <c r="G31" s="11">
        <f t="shared" si="3"/>
        <v>2.4203999999999999</v>
      </c>
      <c r="H31" s="11">
        <f t="shared" si="3"/>
        <v>4.1955999999999998</v>
      </c>
      <c r="I31" s="11">
        <f t="shared" si="3"/>
        <v>3.3079999999999998</v>
      </c>
      <c r="J31" s="11">
        <f t="shared" si="3"/>
        <v>2.6850000000000001</v>
      </c>
      <c r="K31" s="11">
        <f t="shared" si="3"/>
        <v>0.8</v>
      </c>
    </row>
  </sheetData>
  <sortState xmlns:xlrd2="http://schemas.microsoft.com/office/spreadsheetml/2017/richdata2" ref="A1:J19">
    <sortCondition descending="1"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</vt:lpstr>
      <vt:lpstr>mci</vt:lpstr>
      <vt:lpstr>older</vt:lpstr>
      <vt:lpstr>low risk</vt:lpstr>
      <vt:lpstr>high risk</vt:lpstr>
    </vt:vector>
  </TitlesOfParts>
  <Company>UWMP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Rivera</dc:creator>
  <cp:lastModifiedBy>robertsgr</cp:lastModifiedBy>
  <dcterms:created xsi:type="dcterms:W3CDTF">2019-08-05T20:42:18Z</dcterms:created>
  <dcterms:modified xsi:type="dcterms:W3CDTF">2020-11-12T01:06:30Z</dcterms:modified>
</cp:coreProperties>
</file>