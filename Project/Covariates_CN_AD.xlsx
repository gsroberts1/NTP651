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C:\Users\robertsgr\Documents\Graduate Schoolwork\NTP651\Project\Patient_Information\"/>
    </mc:Choice>
  </mc:AlternateContent>
  <xr:revisionPtr revIDLastSave="0" documentId="13_ncr:1_{BEDD4F0C-E3AE-43F1-BEED-130E68C8779A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AD" sheetId="2" r:id="rId1"/>
    <sheet name="MCI" sheetId="4" r:id="rId2"/>
    <sheet name="CN" sheetId="6" r:id="rId3"/>
    <sheet name="Combined" sheetId="12" r:id="rId4"/>
    <sheet name="Stats" sheetId="11" r:id="rId5"/>
  </sheets>
  <externalReferences>
    <externalReference r:id="rId6"/>
  </externalReferences>
  <definedNames>
    <definedName name="solver_eng" localSheetId="4" hidden="1">1</definedName>
    <definedName name="solver_neg" localSheetId="4" hidden="1">1</definedName>
    <definedName name="solver_num" localSheetId="4" hidden="1">0</definedName>
    <definedName name="solver_opt" localSheetId="4" hidden="1">Stats!$F$13</definedName>
    <definedName name="solver_typ" localSheetId="4" hidden="1">1</definedName>
    <definedName name="solver_val" localSheetId="4" hidden="1">0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1" l="1" a="1"/>
  <c r="L4" i="11" a="1"/>
  <c r="C4" i="11" a="1"/>
  <c r="M4" i="11" l="1"/>
  <c r="L4" i="11"/>
  <c r="C4" i="11"/>
  <c r="G3" i="11" l="1"/>
  <c r="N24" i="2" l="1"/>
  <c r="G76" i="12" l="1"/>
  <c r="A64" i="12"/>
  <c r="N48" i="6" l="1"/>
  <c r="N47" i="6"/>
  <c r="C47" i="6"/>
  <c r="N66" i="12"/>
  <c r="N68" i="12" s="1"/>
  <c r="N65" i="12"/>
  <c r="N67" i="12" s="1"/>
  <c r="M68" i="12"/>
  <c r="M67" i="12"/>
  <c r="M66" i="12"/>
  <c r="L68" i="12"/>
  <c r="L67" i="12"/>
  <c r="L66" i="12"/>
  <c r="E68" i="12"/>
  <c r="F68" i="12"/>
  <c r="G68" i="12"/>
  <c r="H68" i="12"/>
  <c r="I68" i="12"/>
  <c r="J68" i="12"/>
  <c r="K68" i="12"/>
  <c r="D68" i="12"/>
  <c r="E67" i="12"/>
  <c r="F67" i="12"/>
  <c r="G67" i="12"/>
  <c r="H67" i="12"/>
  <c r="I67" i="12"/>
  <c r="J67" i="12"/>
  <c r="K67" i="12"/>
  <c r="D67" i="12"/>
  <c r="E66" i="12"/>
  <c r="F66" i="12"/>
  <c r="G66" i="12"/>
  <c r="H66" i="12"/>
  <c r="I66" i="12"/>
  <c r="J66" i="12"/>
  <c r="K66" i="12"/>
  <c r="D66" i="12"/>
  <c r="E65" i="12"/>
  <c r="F65" i="12"/>
  <c r="G65" i="12"/>
  <c r="H65" i="12"/>
  <c r="I65" i="12"/>
  <c r="J65" i="12"/>
  <c r="K65" i="12"/>
  <c r="D65" i="12"/>
  <c r="C66" i="12"/>
  <c r="C65" i="12"/>
  <c r="C67" i="12" s="1"/>
  <c r="B68" i="12"/>
  <c r="B67" i="12"/>
  <c r="B66" i="12"/>
  <c r="B65" i="12"/>
  <c r="C48" i="6"/>
  <c r="C68" i="12" l="1"/>
  <c r="F3" i="11"/>
  <c r="H3" i="11"/>
  <c r="I3" i="11"/>
  <c r="J3" i="11"/>
  <c r="K3" i="11"/>
  <c r="E3" i="11"/>
  <c r="D3" i="11"/>
  <c r="N46" i="6"/>
  <c r="N45" i="6"/>
  <c r="N25" i="2"/>
  <c r="D2" i="11"/>
  <c r="E2" i="11"/>
  <c r="F2" i="11"/>
  <c r="G2" i="11"/>
  <c r="H2" i="11"/>
  <c r="I2" i="11"/>
  <c r="J2" i="11"/>
  <c r="K2" i="11"/>
  <c r="N26" i="2" l="1"/>
  <c r="N27" i="2" s="1"/>
  <c r="C46" i="6"/>
  <c r="C25" i="2"/>
  <c r="B3" i="11"/>
  <c r="B2" i="11"/>
  <c r="B47" i="6" l="1"/>
  <c r="D47" i="6"/>
  <c r="E47" i="6"/>
  <c r="F47" i="6"/>
  <c r="G47" i="6"/>
  <c r="H47" i="6"/>
  <c r="I47" i="6"/>
  <c r="J47" i="6"/>
  <c r="K47" i="6"/>
  <c r="B45" i="6"/>
  <c r="C45" i="6"/>
  <c r="D45" i="6"/>
  <c r="E45" i="6"/>
  <c r="F45" i="6"/>
  <c r="G45" i="6"/>
  <c r="H45" i="6"/>
  <c r="I45" i="6"/>
  <c r="J45" i="6"/>
  <c r="K45" i="6"/>
  <c r="B24" i="4"/>
  <c r="D48" i="6"/>
  <c r="E48" i="6"/>
  <c r="F48" i="6"/>
  <c r="G48" i="6"/>
  <c r="H48" i="6"/>
  <c r="I48" i="6"/>
  <c r="J48" i="6"/>
  <c r="K48" i="6"/>
  <c r="B48" i="6"/>
  <c r="D46" i="6"/>
  <c r="E46" i="6"/>
  <c r="F46" i="6"/>
  <c r="G46" i="6"/>
  <c r="H46" i="6"/>
  <c r="I46" i="6"/>
  <c r="J46" i="6"/>
  <c r="K46" i="6"/>
  <c r="B46" i="6"/>
  <c r="D27" i="4"/>
  <c r="E27" i="4"/>
  <c r="F27" i="4"/>
  <c r="G27" i="4"/>
  <c r="H27" i="4"/>
  <c r="I27" i="4"/>
  <c r="J27" i="4"/>
  <c r="K27" i="4"/>
  <c r="B27" i="4"/>
  <c r="D26" i="4"/>
  <c r="E26" i="4"/>
  <c r="F26" i="4"/>
  <c r="G26" i="4"/>
  <c r="H26" i="4"/>
  <c r="I26" i="4"/>
  <c r="J26" i="4"/>
  <c r="K26" i="4"/>
  <c r="B26" i="4"/>
  <c r="D25" i="4"/>
  <c r="E25" i="4"/>
  <c r="F25" i="4"/>
  <c r="G25" i="4"/>
  <c r="H25" i="4"/>
  <c r="I25" i="4"/>
  <c r="J25" i="4"/>
  <c r="K25" i="4"/>
  <c r="B25" i="4"/>
  <c r="E24" i="4"/>
  <c r="F24" i="4"/>
  <c r="G24" i="4"/>
  <c r="H24" i="4"/>
  <c r="I24" i="4"/>
  <c r="J24" i="4"/>
  <c r="K24" i="4"/>
  <c r="D24" i="4"/>
  <c r="C24" i="4"/>
  <c r="C24" i="2"/>
  <c r="D27" i="2"/>
  <c r="E27" i="2"/>
  <c r="F27" i="2"/>
  <c r="G27" i="2"/>
  <c r="H27" i="2"/>
  <c r="I27" i="2"/>
  <c r="J27" i="2"/>
  <c r="K27" i="2"/>
  <c r="B27" i="2"/>
  <c r="D26" i="2"/>
  <c r="E26" i="2"/>
  <c r="F26" i="2"/>
  <c r="G26" i="2"/>
  <c r="H26" i="2"/>
  <c r="I26" i="2"/>
  <c r="J26" i="2"/>
  <c r="K26" i="2"/>
  <c r="B26" i="2"/>
  <c r="D25" i="2"/>
  <c r="E25" i="2"/>
  <c r="F25" i="2"/>
  <c r="G25" i="2"/>
  <c r="H25" i="2"/>
  <c r="I25" i="2"/>
  <c r="J25" i="2"/>
  <c r="K25" i="2"/>
  <c r="B25" i="2"/>
  <c r="D24" i="2"/>
  <c r="E24" i="2"/>
  <c r="F24" i="2"/>
  <c r="G24" i="2"/>
  <c r="H24" i="2"/>
  <c r="I24" i="2"/>
  <c r="J24" i="2"/>
  <c r="K24" i="2"/>
  <c r="B24" i="2"/>
  <c r="A23" i="2"/>
  <c r="A23" i="4"/>
  <c r="A44" i="6"/>
  <c r="C27" i="2" l="1"/>
  <c r="C2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<sst xmlns="http://schemas.openxmlformats.org/spreadsheetml/2006/main" count="397" uniqueCount="121">
  <si>
    <t>'adrc00343_v2'</t>
  </si>
  <si>
    <t>'adrc00405_v2'</t>
  </si>
  <si>
    <t>'adrc00564'</t>
  </si>
  <si>
    <t>'adrc00609_v2'</t>
  </si>
  <si>
    <t>'adrc00739'</t>
  </si>
  <si>
    <t>'adrc00750'</t>
  </si>
  <si>
    <t>'adrc00778'</t>
  </si>
  <si>
    <t>'adrc00791'</t>
  </si>
  <si>
    <t>'adrc00811'</t>
  </si>
  <si>
    <t>'adrc00820'</t>
  </si>
  <si>
    <t>'adrc00860'</t>
  </si>
  <si>
    <t>'adrc00863'</t>
  </si>
  <si>
    <t>'adrc00893'</t>
  </si>
  <si>
    <t>'adrc00894'</t>
  </si>
  <si>
    <t>'adrc00903'</t>
  </si>
  <si>
    <t>'adrc00919'</t>
  </si>
  <si>
    <t>'adrc00920'</t>
  </si>
  <si>
    <t>'adrc00934'</t>
  </si>
  <si>
    <t>'adrc00939'</t>
  </si>
  <si>
    <t>'adrc00964'</t>
  </si>
  <si>
    <t>id</t>
  </si>
  <si>
    <t>pwv lt_ica</t>
  </si>
  <si>
    <t>pwv rt_ica</t>
  </si>
  <si>
    <t>pwv_avg</t>
  </si>
  <si>
    <t>'adrc00302_v2'</t>
  </si>
  <si>
    <t>'adrc00383'</t>
  </si>
  <si>
    <t>'adrc00404'</t>
  </si>
  <si>
    <t>'adrc00457_v2'</t>
  </si>
  <si>
    <t>'adrc00667_v2'</t>
  </si>
  <si>
    <t>'adrc00695_v2'</t>
  </si>
  <si>
    <t>'adrc00713_v2'</t>
  </si>
  <si>
    <t>'adrc00715'</t>
  </si>
  <si>
    <t>'adrc00730_v2'</t>
  </si>
  <si>
    <t>'adrc00734'</t>
  </si>
  <si>
    <t>'adrc00765'</t>
  </si>
  <si>
    <t>'adrc00780_v2'</t>
  </si>
  <si>
    <t>'adrc00783'</t>
  </si>
  <si>
    <t>'adrc00807'</t>
  </si>
  <si>
    <t>'adrc00892'</t>
  </si>
  <si>
    <t>'adrc00897'</t>
  </si>
  <si>
    <t>'adrc00929'</t>
  </si>
  <si>
    <t>'adrc00933'</t>
  </si>
  <si>
    <t>'adrc00937'</t>
  </si>
  <si>
    <t>'adrc00946'</t>
  </si>
  <si>
    <t>'adrc00057_v3'</t>
  </si>
  <si>
    <t>'adrc00175_v2'</t>
  </si>
  <si>
    <t>'adrc00178_v2'</t>
  </si>
  <si>
    <t>'adrc00246_v2'</t>
  </si>
  <si>
    <t>'adrc00247_v3'</t>
  </si>
  <si>
    <t>'adrc00249_v2'</t>
  </si>
  <si>
    <t>'adrc00269_v2'</t>
  </si>
  <si>
    <t>'adrc00270_v3'</t>
  </si>
  <si>
    <t>'adrc00286_v3'</t>
  </si>
  <si>
    <t>'adrc00298_v2'</t>
  </si>
  <si>
    <t>'adrc00316_v2'</t>
  </si>
  <si>
    <t>'adrc00334_v3'</t>
  </si>
  <si>
    <t>'adrc00336_v2'</t>
  </si>
  <si>
    <t>'adrc00353_v2'</t>
  </si>
  <si>
    <t>'adrc00446_v3'</t>
  </si>
  <si>
    <t>'adrc00464_v3'</t>
  </si>
  <si>
    <t>'adrc00554_v2'</t>
  </si>
  <si>
    <t>'adrc00574_v3'</t>
  </si>
  <si>
    <t>'adrc00589_v2'</t>
  </si>
  <si>
    <t>'adrc00592_v2'</t>
  </si>
  <si>
    <t>'adrc00669_v2'</t>
  </si>
  <si>
    <t>'adrc00689_v2'</t>
  </si>
  <si>
    <t>'adrc00694_v3'</t>
  </si>
  <si>
    <t>'adrc00712_v2'</t>
  </si>
  <si>
    <t>'adrc00719'</t>
  </si>
  <si>
    <t>'adrc00721_v2'</t>
  </si>
  <si>
    <t>'adrc00767_v2'</t>
  </si>
  <si>
    <t>'adrc00773'</t>
  </si>
  <si>
    <t>'adrc00788'</t>
  </si>
  <si>
    <t>'adrc00808_v2'</t>
  </si>
  <si>
    <t>'adrc00855_v2'</t>
  </si>
  <si>
    <t>'pdt00034_v3'</t>
  </si>
  <si>
    <t>'pdt00035_v3'</t>
  </si>
  <si>
    <t>'pdt00045_v3'</t>
  </si>
  <si>
    <t>'pdt00056_v3'</t>
  </si>
  <si>
    <t>'pdt00092_v3'</t>
  </si>
  <si>
    <t>'pdt00202_v3'</t>
  </si>
  <si>
    <t>'pdt00218_v3'</t>
  </si>
  <si>
    <t>'pdt00258_v3'</t>
  </si>
  <si>
    <t>'pdt00049_v3'</t>
  </si>
  <si>
    <t>adrc00317_v3'</t>
  </si>
  <si>
    <t>age</t>
  </si>
  <si>
    <t xml:space="preserve">flow petrous L&amp;R </t>
  </si>
  <si>
    <t>PI petrous L&amp;R</t>
  </si>
  <si>
    <t>spb</t>
  </si>
  <si>
    <t>dbp</t>
  </si>
  <si>
    <t>sex</t>
  </si>
  <si>
    <t>Male</t>
  </si>
  <si>
    <t>Female</t>
  </si>
  <si>
    <t>apoe_e1</t>
  </si>
  <si>
    <t>apoe_e2</t>
  </si>
  <si>
    <t>HR (bpm)</t>
  </si>
  <si>
    <t>FmHx_dementia</t>
  </si>
  <si>
    <t>Mean</t>
  </si>
  <si>
    <t>Std Dev</t>
  </si>
  <si>
    <t>Maximum</t>
  </si>
  <si>
    <t>Minimum</t>
  </si>
  <si>
    <t>Age</t>
  </si>
  <si>
    <t>F-test</t>
  </si>
  <si>
    <t>T-test</t>
  </si>
  <si>
    <t>Fisher Exact Test</t>
  </si>
  <si>
    <t>Sex</t>
  </si>
  <si>
    <t>Categorical</t>
  </si>
  <si>
    <t>Female/Male</t>
  </si>
  <si>
    <t>FmHx</t>
  </si>
  <si>
    <t>apoe4_carrier</t>
  </si>
  <si>
    <t>APOE e2,2</t>
  </si>
  <si>
    <t>APOE e2,3/3,2</t>
  </si>
  <si>
    <t>APOE e3,3</t>
  </si>
  <si>
    <t>APOE e3,4/4,3</t>
  </si>
  <si>
    <t>APOE e4,4</t>
  </si>
  <si>
    <r>
      <t>Mean/</t>
    </r>
    <r>
      <rPr>
        <sz val="11"/>
        <color rgb="FFC00000"/>
        <rFont val="Calibri"/>
        <family val="2"/>
        <scheme val="minor"/>
      </rPr>
      <t>Count+</t>
    </r>
  </si>
  <si>
    <r>
      <t>Std Dev/</t>
    </r>
    <r>
      <rPr>
        <sz val="11"/>
        <color rgb="FFC00000"/>
        <rFont val="Calibri"/>
        <family val="2"/>
        <scheme val="minor"/>
      </rPr>
      <t>Count-</t>
    </r>
  </si>
  <si>
    <r>
      <t>Maximum/</t>
    </r>
    <r>
      <rPr>
        <sz val="11"/>
        <color rgb="FFC00000"/>
        <rFont val="Calibri"/>
        <family val="2"/>
        <scheme val="minor"/>
      </rPr>
      <t>Total</t>
    </r>
  </si>
  <si>
    <r>
      <t>Minimum/</t>
    </r>
    <r>
      <rPr>
        <sz val="11"/>
        <color rgb="FFC00000"/>
        <rFont val="Calibri"/>
        <family val="2"/>
        <scheme val="minor"/>
      </rPr>
      <t>Pct</t>
    </r>
  </si>
  <si>
    <t>Unknown</t>
  </si>
  <si>
    <t>Carrier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</si>
</sst>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5" fillId="2" borderId="0" applyNumberFormat="0" applyBorder="0" applyAlignment="0" applyProtection="0"/>
    <xf numFmtId="0" fontId="6" fillId="3" borderId="0" applyNumberFormat="0" applyBorder="0" applyAlignment="0" applyProtection="0"/>
  </cellStyleXfs>
  <cellXfs count="35">
    <xf numFmtId="0" fontId="0" fillId="0" borderId="0" xfId="0"/>
    <xf numFmtId="0" fontId="0" fillId="0" borderId="0" xfId="0" quotePrefix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2" fontId="0" fillId="0" borderId="0" xfId="0" applyNumberFormat="1"/>
    <xf numFmtId="0" fontId="0" fillId="0" borderId="2" xfId="0" quotePrefix="1" applyBorder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1" fontId="4" fillId="0" borderId="0" xfId="0" applyNumberFormat="1" applyFont="1"/>
    <xf numFmtId="0" fontId="4" fillId="0" borderId="0" xfId="0" applyFont="1"/>
    <xf numFmtId="0" fontId="0" fillId="0" borderId="4" xfId="0" applyBorder="1"/>
    <xf numFmtId="0" fontId="0" fillId="0" borderId="0" xfId="0" applyBorder="1"/>
    <xf numFmtId="2" fontId="4" fillId="0" borderId="0" xfId="0" applyNumberFormat="1" applyFont="1"/>
    <xf numFmtId="164" fontId="0" fillId="0" borderId="0" xfId="0" applyNumberFormat="1"/>
    <xf numFmtId="164" fontId="4" fillId="0" borderId="0" xfId="0" applyNumberFormat="1" applyFont="1"/>
    <xf numFmtId="0" fontId="0" fillId="0" borderId="5" xfId="0" applyBorder="1"/>
    <xf numFmtId="0" fontId="0" fillId="0" borderId="6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7" xfId="0" applyBorder="1"/>
    <xf numFmtId="0" fontId="2" fillId="0" borderId="3" xfId="0" applyFont="1" applyBorder="1"/>
    <xf numFmtId="0" fontId="0" fillId="0" borderId="0" xfId="0" applyAlignment="1">
      <alignment horizontal="center" vertical="center"/>
    </xf>
    <xf numFmtId="0" fontId="7" fillId="0" borderId="0" xfId="0" applyFont="1"/>
    <xf numFmtId="0" fontId="6" fillId="3" borderId="0" xfId="4"/>
    <xf numFmtId="0" fontId="5" fillId="2" borderId="0" xfId="3"/>
    <xf numFmtId="0" fontId="1" fillId="0" borderId="0" xfId="2"/>
    <xf numFmtId="0" fontId="0" fillId="0" borderId="6" xfId="0" applyFill="1" applyBorder="1"/>
    <xf numFmtId="0" fontId="2" fillId="0" borderId="6" xfId="0" applyFont="1" applyBorder="1"/>
    <xf numFmtId="165" fontId="0" fillId="0" borderId="0" xfId="0" applyNumberFormat="1"/>
  </cellXfs>
  <cellStyles count="5">
    <cellStyle name="Bad" xfId="4" builtinId="27"/>
    <cellStyle name="Good" xfId="3" builtinId="26"/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523875</xdr:colOff>
      <xdr:row>42</xdr:row>
      <xdr:rowOff>85725</xdr:rowOff>
    </xdr:from>
    <xdr:to>
      <xdr:col>11</xdr:col>
      <xdr:colOff>523876</xdr:colOff>
      <xdr:row>48</xdr:row>
      <xdr:rowOff>133350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F436BC9-185B-4177-A695-6006740545BB}"/>
            </a:ext>
          </a:extLst>
        </xdr:cNvPr>
        <xdr:cNvCxnSpPr/>
      </xdr:nvCxnSpPr>
      <xdr:spPr>
        <a:xfrm>
          <a:off x="9734550" y="8086725"/>
          <a:ext cx="1" cy="1190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66675</xdr:colOff>
      <xdr:row>42</xdr:row>
      <xdr:rowOff>76200</xdr:rowOff>
    </xdr:from>
    <xdr:to>
      <xdr:col>12</xdr:col>
      <xdr:colOff>419100</xdr:colOff>
      <xdr:row>48</xdr:row>
      <xdr:rowOff>133350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D76C0EC-A222-4522-9096-7496B8D4BB0B}"/>
            </a:ext>
          </a:extLst>
        </xdr:cNvPr>
        <xdr:cNvCxnSpPr/>
      </xdr:nvCxnSpPr>
      <xdr:spPr>
        <a:xfrm flipH="1">
          <a:off x="9886950" y="8077200"/>
          <a:ext cx="352425" cy="1200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ertsgr/AppData/Roaming/Microsoft/AddIns/XRealStat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AD2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Dunnett 1"/>
      <sheetName val="Prime"/>
      <sheetName val="MSSD"/>
      <sheetName val="XRealStats"/>
    </sheetNames>
    <definedNames>
      <definedName name="FISHERTES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workbookViewId="0">
      <selection activeCell="B2" sqref="B2:B21"/>
    </sheetView>
  </sheetViews>
  <sheetFormatPr defaultRowHeight="15" x14ac:dyDescent="0.25"/>
  <cols>
    <col min="1" max="1" width="15.85546875" customWidth="1"/>
    <col min="2" max="3" width="11.5703125" bestFit="1" customWidth="1"/>
    <col min="4" max="5" width="9.140625" customWidth="1"/>
    <col min="6" max="6" width="9.85546875" customWidth="1"/>
    <col min="7" max="9" width="12.140625" customWidth="1"/>
    <col min="10" max="11" width="17.28515625" customWidth="1"/>
    <col min="14" max="14" width="15.7109375" customWidth="1"/>
    <col min="15" max="15" width="11.5703125" customWidth="1"/>
  </cols>
  <sheetData>
    <row r="1" spans="1:14" x14ac:dyDescent="0.25">
      <c r="A1" s="8" t="s">
        <v>20</v>
      </c>
      <c r="B1" s="6" t="s">
        <v>85</v>
      </c>
      <c r="C1" s="8" t="s">
        <v>90</v>
      </c>
      <c r="D1" s="6" t="s">
        <v>88</v>
      </c>
      <c r="E1" s="6" t="s">
        <v>89</v>
      </c>
      <c r="F1" s="8" t="s">
        <v>95</v>
      </c>
      <c r="G1" s="6" t="s">
        <v>21</v>
      </c>
      <c r="H1" s="6" t="s">
        <v>22</v>
      </c>
      <c r="I1" s="6" t="s">
        <v>23</v>
      </c>
      <c r="J1" s="6" t="s">
        <v>86</v>
      </c>
      <c r="K1" s="8" t="s">
        <v>87</v>
      </c>
      <c r="L1" s="6" t="s">
        <v>93</v>
      </c>
      <c r="M1" s="6" t="s">
        <v>94</v>
      </c>
      <c r="N1" s="8" t="s">
        <v>96</v>
      </c>
    </row>
    <row r="2" spans="1:14" ht="15.75" customHeight="1" x14ac:dyDescent="0.25">
      <c r="A2" s="7" t="s">
        <v>0</v>
      </c>
      <c r="B2" s="2">
        <v>87.97</v>
      </c>
      <c r="C2" s="7" t="s">
        <v>91</v>
      </c>
      <c r="D2" s="5">
        <v>146</v>
      </c>
      <c r="E2" s="5">
        <v>80</v>
      </c>
      <c r="F2" s="7">
        <v>63.5593</v>
      </c>
      <c r="G2">
        <v>22.7851</v>
      </c>
      <c r="H2">
        <v>24.170100000000001</v>
      </c>
      <c r="I2">
        <v>23.477599999999999</v>
      </c>
      <c r="J2" s="5">
        <v>3.29</v>
      </c>
      <c r="K2" s="7">
        <v>1.385</v>
      </c>
      <c r="L2" s="5">
        <v>3</v>
      </c>
      <c r="M2" s="5">
        <v>3</v>
      </c>
      <c r="N2" s="7">
        <v>0</v>
      </c>
    </row>
    <row r="3" spans="1:14" x14ac:dyDescent="0.25">
      <c r="A3" s="7" t="s">
        <v>1</v>
      </c>
      <c r="B3" s="2">
        <v>72.510000000000005</v>
      </c>
      <c r="C3" s="7" t="s">
        <v>92</v>
      </c>
      <c r="D3" s="5">
        <v>150</v>
      </c>
      <c r="E3" s="5">
        <v>80</v>
      </c>
      <c r="F3" s="7">
        <v>92.879300000000001</v>
      </c>
      <c r="G3">
        <v>42.6706</v>
      </c>
      <c r="H3">
        <v>61.820700000000002</v>
      </c>
      <c r="I3">
        <v>52.245649999999998</v>
      </c>
      <c r="J3" s="5">
        <v>2.4550000000000001</v>
      </c>
      <c r="K3" s="7">
        <v>1.335</v>
      </c>
      <c r="L3" s="5">
        <v>3</v>
      </c>
      <c r="M3" s="5">
        <v>4</v>
      </c>
      <c r="N3" s="7">
        <v>1</v>
      </c>
    </row>
    <row r="4" spans="1:14" x14ac:dyDescent="0.25">
      <c r="A4" s="7" t="s">
        <v>2</v>
      </c>
      <c r="B4" s="2">
        <v>69.89</v>
      </c>
      <c r="C4" s="7" t="s">
        <v>91</v>
      </c>
      <c r="D4" s="5">
        <v>143</v>
      </c>
      <c r="E4" s="5">
        <v>78</v>
      </c>
      <c r="F4" s="7">
        <v>60.362200000000001</v>
      </c>
      <c r="G4">
        <v>42.900500000000001</v>
      </c>
      <c r="H4">
        <v>10.424099999999999</v>
      </c>
      <c r="I4">
        <v>26.662299999999998</v>
      </c>
      <c r="J4" s="5">
        <v>3.2050000000000001</v>
      </c>
      <c r="K4" s="7">
        <v>1.27</v>
      </c>
      <c r="L4" s="5">
        <v>2</v>
      </c>
      <c r="M4" s="5">
        <v>3</v>
      </c>
      <c r="N4" s="7">
        <v>0</v>
      </c>
    </row>
    <row r="5" spans="1:14" x14ac:dyDescent="0.25">
      <c r="A5" s="7" t="s">
        <v>3</v>
      </c>
      <c r="B5" s="2">
        <v>73.790000000000006</v>
      </c>
      <c r="C5" s="7" t="s">
        <v>92</v>
      </c>
      <c r="D5" s="5">
        <v>135</v>
      </c>
      <c r="E5" s="5">
        <v>74</v>
      </c>
      <c r="F5" s="7">
        <v>58.139499999999998</v>
      </c>
      <c r="G5">
        <v>21.241399999999999</v>
      </c>
      <c r="H5">
        <v>14.238799999999999</v>
      </c>
      <c r="I5">
        <v>17.740100000000002</v>
      </c>
      <c r="J5" s="5">
        <v>3.395</v>
      </c>
      <c r="K5" s="7">
        <v>1.4350000000000001</v>
      </c>
      <c r="L5" s="5">
        <v>3</v>
      </c>
      <c r="M5" s="5">
        <v>4</v>
      </c>
      <c r="N5" s="7">
        <v>0</v>
      </c>
    </row>
    <row r="6" spans="1:14" x14ac:dyDescent="0.25">
      <c r="A6" s="7" t="s">
        <v>4</v>
      </c>
      <c r="B6" s="2">
        <v>69.59</v>
      </c>
      <c r="C6" s="7" t="s">
        <v>91</v>
      </c>
      <c r="D6" s="5">
        <v>115</v>
      </c>
      <c r="E6" s="5">
        <v>74</v>
      </c>
      <c r="F6" s="7">
        <v>55.248600000000003</v>
      </c>
      <c r="G6">
        <v>23.508099999999999</v>
      </c>
      <c r="H6">
        <v>12.071999999999999</v>
      </c>
      <c r="I6">
        <v>17.790050000000001</v>
      </c>
      <c r="J6" s="5">
        <v>2.4000000000000004</v>
      </c>
      <c r="K6" s="7">
        <v>1.25</v>
      </c>
      <c r="L6" s="5">
        <v>3</v>
      </c>
      <c r="M6" s="5">
        <v>4</v>
      </c>
      <c r="N6" s="7">
        <v>0</v>
      </c>
    </row>
    <row r="7" spans="1:14" x14ac:dyDescent="0.25">
      <c r="A7" s="7" t="s">
        <v>5</v>
      </c>
      <c r="B7" s="2">
        <v>69.97</v>
      </c>
      <c r="C7" s="7" t="s">
        <v>92</v>
      </c>
      <c r="D7" s="5">
        <v>131</v>
      </c>
      <c r="E7" s="5">
        <v>81</v>
      </c>
      <c r="F7" s="7">
        <v>56.497199999999999</v>
      </c>
      <c r="G7">
        <v>24.686699999999998</v>
      </c>
      <c r="H7">
        <v>28.152799999999999</v>
      </c>
      <c r="I7">
        <v>26.419750000000001</v>
      </c>
      <c r="J7" s="5">
        <v>3.085</v>
      </c>
      <c r="K7" s="7">
        <v>1.1749999999999998</v>
      </c>
      <c r="L7" s="5">
        <v>4</v>
      </c>
      <c r="M7" s="5">
        <v>4</v>
      </c>
      <c r="N7" s="7">
        <v>1</v>
      </c>
    </row>
    <row r="8" spans="1:14" x14ac:dyDescent="0.25">
      <c r="A8" s="7" t="s">
        <v>6</v>
      </c>
      <c r="B8" s="2">
        <v>71.55</v>
      </c>
      <c r="C8" s="7" t="s">
        <v>92</v>
      </c>
      <c r="D8" s="5">
        <v>116</v>
      </c>
      <c r="E8" s="5">
        <v>74</v>
      </c>
      <c r="F8" s="7">
        <v>56.710799999999999</v>
      </c>
      <c r="G8">
        <v>31.1677</v>
      </c>
      <c r="H8">
        <v>40.292499999999997</v>
      </c>
      <c r="I8">
        <v>35.7301</v>
      </c>
      <c r="J8" s="5">
        <v>2.85</v>
      </c>
      <c r="K8" s="7">
        <v>1.415</v>
      </c>
      <c r="L8" s="5">
        <v>3</v>
      </c>
      <c r="M8" s="5">
        <v>4</v>
      </c>
      <c r="N8" s="7">
        <v>1</v>
      </c>
    </row>
    <row r="9" spans="1:14" x14ac:dyDescent="0.25">
      <c r="A9" s="7" t="s">
        <v>7</v>
      </c>
      <c r="B9" s="2">
        <v>83.97</v>
      </c>
      <c r="C9" s="7" t="s">
        <v>92</v>
      </c>
      <c r="D9" s="5">
        <v>158</v>
      </c>
      <c r="E9" s="5">
        <v>71</v>
      </c>
      <c r="F9" s="7">
        <v>66.079300000000003</v>
      </c>
      <c r="G9">
        <v>33.996099999999998</v>
      </c>
      <c r="H9">
        <v>14.5291</v>
      </c>
      <c r="I9">
        <v>24.262599999999999</v>
      </c>
      <c r="J9" s="5">
        <v>4.43</v>
      </c>
      <c r="K9" s="7">
        <v>1.8149999999999999</v>
      </c>
      <c r="L9" s="5"/>
      <c r="M9" s="5"/>
      <c r="N9" s="7">
        <v>1</v>
      </c>
    </row>
    <row r="10" spans="1:14" x14ac:dyDescent="0.25">
      <c r="A10" s="7" t="s">
        <v>8</v>
      </c>
      <c r="B10" s="2">
        <v>60.7</v>
      </c>
      <c r="C10" s="7" t="s">
        <v>92</v>
      </c>
      <c r="D10" s="5">
        <v>106</v>
      </c>
      <c r="E10" s="5">
        <v>69</v>
      </c>
      <c r="F10" s="7">
        <v>46.082900000000002</v>
      </c>
      <c r="G10">
        <v>20.796399999999998</v>
      </c>
      <c r="H10">
        <v>20.411899999999999</v>
      </c>
      <c r="I10">
        <v>20.604150000000001</v>
      </c>
      <c r="J10" s="5">
        <v>3.6150000000000002</v>
      </c>
      <c r="K10" s="7">
        <v>0.93500000000000005</v>
      </c>
      <c r="L10" s="5">
        <v>3</v>
      </c>
      <c r="M10" s="5">
        <v>3</v>
      </c>
      <c r="N10" s="7">
        <v>0</v>
      </c>
    </row>
    <row r="11" spans="1:14" x14ac:dyDescent="0.25">
      <c r="A11" s="7" t="s">
        <v>9</v>
      </c>
      <c r="B11" s="2">
        <v>75.319999999999993</v>
      </c>
      <c r="C11" s="7" t="s">
        <v>92</v>
      </c>
      <c r="D11" s="5">
        <v>148</v>
      </c>
      <c r="E11" s="5">
        <v>76</v>
      </c>
      <c r="F11" s="7">
        <v>71.258899999999997</v>
      </c>
      <c r="H11">
        <v>25.799199999999999</v>
      </c>
      <c r="I11">
        <v>25.799199999999999</v>
      </c>
      <c r="J11" s="5">
        <v>3.13</v>
      </c>
      <c r="K11" s="7">
        <v>1.01</v>
      </c>
      <c r="L11" s="5">
        <v>3</v>
      </c>
      <c r="M11" s="5">
        <v>4</v>
      </c>
      <c r="N11" s="7">
        <v>1</v>
      </c>
    </row>
    <row r="12" spans="1:14" x14ac:dyDescent="0.25">
      <c r="A12" s="7" t="s">
        <v>10</v>
      </c>
      <c r="B12" s="2">
        <v>79.81</v>
      </c>
      <c r="C12" s="7" t="s">
        <v>91</v>
      </c>
      <c r="D12" s="5">
        <v>163</v>
      </c>
      <c r="E12" s="5">
        <v>75</v>
      </c>
      <c r="F12" s="7">
        <v>58.823500000000003</v>
      </c>
      <c r="G12">
        <v>47.892899999999997</v>
      </c>
      <c r="H12">
        <v>27.565200000000001</v>
      </c>
      <c r="I12">
        <v>37.729050000000001</v>
      </c>
      <c r="J12" s="5">
        <v>3.08</v>
      </c>
      <c r="K12" s="7">
        <v>1.54</v>
      </c>
      <c r="L12" s="5">
        <v>3</v>
      </c>
      <c r="M12" s="5">
        <v>3</v>
      </c>
      <c r="N12" s="7">
        <v>0</v>
      </c>
    </row>
    <row r="13" spans="1:14" x14ac:dyDescent="0.25">
      <c r="A13" s="7" t="s">
        <v>11</v>
      </c>
      <c r="B13" s="2">
        <v>78.37</v>
      </c>
      <c r="C13" s="7" t="s">
        <v>92</v>
      </c>
      <c r="D13" s="5">
        <v>125</v>
      </c>
      <c r="E13" s="5">
        <v>84</v>
      </c>
      <c r="F13" s="7">
        <v>58.939100000000003</v>
      </c>
      <c r="G13">
        <v>40.672800000000002</v>
      </c>
      <c r="H13">
        <v>18.9284</v>
      </c>
      <c r="I13">
        <v>29.800599999999999</v>
      </c>
      <c r="J13" s="5">
        <v>2.4900000000000002</v>
      </c>
      <c r="K13" s="7">
        <v>1.28</v>
      </c>
      <c r="L13" s="5"/>
      <c r="M13" s="5"/>
      <c r="N13" s="7">
        <v>0</v>
      </c>
    </row>
    <row r="14" spans="1:14" x14ac:dyDescent="0.25">
      <c r="A14" s="7" t="s">
        <v>12</v>
      </c>
      <c r="B14" s="2">
        <v>66.95</v>
      </c>
      <c r="C14" s="7" t="s">
        <v>91</v>
      </c>
      <c r="D14" s="5">
        <v>132</v>
      </c>
      <c r="E14" s="5">
        <v>81</v>
      </c>
      <c r="F14" s="7">
        <v>61.601599999999998</v>
      </c>
      <c r="G14">
        <v>53.265900000000002</v>
      </c>
      <c r="H14">
        <v>39.741500000000002</v>
      </c>
      <c r="I14">
        <v>46.503700000000002</v>
      </c>
      <c r="J14" s="5">
        <v>2.11</v>
      </c>
      <c r="K14" s="7">
        <v>1.43</v>
      </c>
      <c r="L14" s="5">
        <v>3</v>
      </c>
      <c r="M14" s="5">
        <v>3</v>
      </c>
      <c r="N14" s="7">
        <v>1</v>
      </c>
    </row>
    <row r="15" spans="1:14" x14ac:dyDescent="0.25">
      <c r="A15" s="7" t="s">
        <v>13</v>
      </c>
      <c r="B15" s="2">
        <v>68.400000000000006</v>
      </c>
      <c r="C15" s="7" t="s">
        <v>92</v>
      </c>
      <c r="D15" s="5">
        <v>128</v>
      </c>
      <c r="E15" s="5">
        <v>83</v>
      </c>
      <c r="F15" s="7">
        <v>44.709400000000002</v>
      </c>
      <c r="G15">
        <v>22.117100000000001</v>
      </c>
      <c r="H15">
        <v>13.7371</v>
      </c>
      <c r="I15">
        <v>17.927099999999999</v>
      </c>
      <c r="J15" s="5">
        <v>4.4249999999999998</v>
      </c>
      <c r="K15" s="7">
        <v>0.91500000000000004</v>
      </c>
      <c r="L15" s="5"/>
      <c r="M15" s="5"/>
      <c r="N15" s="7">
        <v>0</v>
      </c>
    </row>
    <row r="16" spans="1:14" x14ac:dyDescent="0.25">
      <c r="A16" s="7" t="s">
        <v>14</v>
      </c>
      <c r="B16" s="2">
        <v>87.92</v>
      </c>
      <c r="C16" s="7" t="s">
        <v>92</v>
      </c>
      <c r="D16" s="5">
        <v>110</v>
      </c>
      <c r="E16" s="5">
        <v>68</v>
      </c>
      <c r="F16" s="7">
        <v>78.740200000000002</v>
      </c>
      <c r="G16">
        <v>15.723000000000001</v>
      </c>
      <c r="H16">
        <v>21.249500000000001</v>
      </c>
      <c r="I16">
        <v>18.486249999999998</v>
      </c>
      <c r="J16" s="5">
        <v>2.67</v>
      </c>
      <c r="K16" s="7">
        <v>1.51</v>
      </c>
      <c r="L16" s="5">
        <v>2</v>
      </c>
      <c r="M16" s="5">
        <v>3</v>
      </c>
      <c r="N16" s="7">
        <v>0</v>
      </c>
    </row>
    <row r="17" spans="1:15" x14ac:dyDescent="0.25">
      <c r="A17" s="7" t="s">
        <v>15</v>
      </c>
      <c r="B17" s="2">
        <v>77.849999999999994</v>
      </c>
      <c r="C17" s="7" t="s">
        <v>91</v>
      </c>
      <c r="D17" s="5">
        <v>134</v>
      </c>
      <c r="E17" s="5">
        <v>79</v>
      </c>
      <c r="F17" s="7">
        <v>55.045900000000003</v>
      </c>
      <c r="G17">
        <v>33.993400000000001</v>
      </c>
      <c r="H17">
        <v>40.364800000000002</v>
      </c>
      <c r="I17">
        <v>37.179099999999998</v>
      </c>
      <c r="J17" s="5">
        <v>2.81</v>
      </c>
      <c r="K17" s="7">
        <v>1.1850000000000001</v>
      </c>
      <c r="L17" s="5"/>
      <c r="M17" s="5"/>
      <c r="N17" s="7">
        <v>0</v>
      </c>
    </row>
    <row r="18" spans="1:15" x14ac:dyDescent="0.25">
      <c r="A18" s="7" t="s">
        <v>16</v>
      </c>
      <c r="B18" s="2">
        <v>56.52</v>
      </c>
      <c r="C18" s="7" t="s">
        <v>92</v>
      </c>
      <c r="D18" s="5">
        <v>110</v>
      </c>
      <c r="E18" s="5">
        <v>68</v>
      </c>
      <c r="F18" s="7">
        <v>55.248600000000003</v>
      </c>
      <c r="G18">
        <v>17.058299999999999</v>
      </c>
      <c r="H18">
        <v>40.910600000000002</v>
      </c>
      <c r="I18">
        <v>28.984449999999999</v>
      </c>
      <c r="J18" s="5">
        <v>5.2</v>
      </c>
      <c r="K18" s="7">
        <v>0.68</v>
      </c>
      <c r="L18" s="5"/>
      <c r="M18" s="5"/>
      <c r="N18" s="7">
        <v>0</v>
      </c>
    </row>
    <row r="19" spans="1:15" x14ac:dyDescent="0.25">
      <c r="A19" s="7" t="s">
        <v>17</v>
      </c>
      <c r="B19" s="2">
        <v>67.95</v>
      </c>
      <c r="C19" s="7" t="s">
        <v>92</v>
      </c>
      <c r="D19" s="5">
        <v>117</v>
      </c>
      <c r="E19" s="5">
        <v>71</v>
      </c>
      <c r="F19" s="7">
        <v>53.956800000000001</v>
      </c>
      <c r="G19">
        <v>27.2989</v>
      </c>
      <c r="H19">
        <v>33.962899999999998</v>
      </c>
      <c r="I19">
        <v>30.6309</v>
      </c>
      <c r="J19" s="5">
        <v>3.9649999999999999</v>
      </c>
      <c r="K19" s="7">
        <v>1.0649999999999999</v>
      </c>
      <c r="L19" s="5"/>
      <c r="M19" s="5"/>
      <c r="N19" s="7">
        <v>1</v>
      </c>
    </row>
    <row r="20" spans="1:15" x14ac:dyDescent="0.25">
      <c r="A20" s="7" t="s">
        <v>18</v>
      </c>
      <c r="B20" s="2">
        <v>88.55</v>
      </c>
      <c r="C20" s="7" t="s">
        <v>92</v>
      </c>
      <c r="D20" s="5">
        <v>153</v>
      </c>
      <c r="E20" s="5">
        <v>72</v>
      </c>
      <c r="F20" s="7">
        <v>55.970100000000002</v>
      </c>
      <c r="G20">
        <v>17.7166</v>
      </c>
      <c r="H20">
        <v>29.0608</v>
      </c>
      <c r="I20">
        <v>23.3887</v>
      </c>
      <c r="J20" s="5">
        <v>2.2850000000000001</v>
      </c>
      <c r="K20" s="7">
        <v>1.9550000000000001</v>
      </c>
      <c r="L20" s="5"/>
      <c r="M20" s="5"/>
      <c r="N20" s="7">
        <v>0</v>
      </c>
    </row>
    <row r="21" spans="1:15" x14ac:dyDescent="0.25">
      <c r="A21" s="8" t="s">
        <v>19</v>
      </c>
      <c r="B21" s="6">
        <v>60.63</v>
      </c>
      <c r="C21" s="8" t="s">
        <v>91</v>
      </c>
      <c r="D21" s="6">
        <v>95</v>
      </c>
      <c r="E21" s="6">
        <v>61</v>
      </c>
      <c r="F21" s="8">
        <v>50</v>
      </c>
      <c r="G21" s="6">
        <v>18.142099999999999</v>
      </c>
      <c r="H21" s="6">
        <v>16.5245</v>
      </c>
      <c r="I21" s="6">
        <v>17.333300000000001</v>
      </c>
      <c r="J21" s="6">
        <v>2.8899999999999997</v>
      </c>
      <c r="K21" s="8">
        <v>1.26</v>
      </c>
      <c r="L21" s="6"/>
      <c r="M21" s="6"/>
      <c r="N21" s="8">
        <v>0</v>
      </c>
    </row>
    <row r="22" spans="1:15" x14ac:dyDescent="0.25">
      <c r="N22" s="5"/>
      <c r="O22" s="5"/>
    </row>
    <row r="23" spans="1:15" x14ac:dyDescent="0.25">
      <c r="A23" s="11" t="str">
        <f>"# SUBJECTS= " &amp; COUNTA(A2:A21)</f>
        <v># SUBJECTS= 20</v>
      </c>
      <c r="C23" s="12" t="s">
        <v>107</v>
      </c>
      <c r="O23" s="34"/>
    </row>
    <row r="24" spans="1:15" x14ac:dyDescent="0.25">
      <c r="A24" s="5" t="s">
        <v>97</v>
      </c>
      <c r="B24" s="9">
        <f>AVERAGE(B2:B21)</f>
        <v>73.410499999999999</v>
      </c>
      <c r="C24" s="14">
        <f>COUNTIF(C2:C21,"Female")</f>
        <v>13</v>
      </c>
      <c r="D24" s="9">
        <f t="shared" ref="D24:K24" si="0">AVERAGE(D2:D21)</f>
        <v>130.75</v>
      </c>
      <c r="E24" s="9">
        <f t="shared" si="0"/>
        <v>74.95</v>
      </c>
      <c r="F24" s="9">
        <f t="shared" si="0"/>
        <v>59.992659999999987</v>
      </c>
      <c r="G24" s="9">
        <f t="shared" si="0"/>
        <v>29.349136842105263</v>
      </c>
      <c r="H24" s="9">
        <f t="shared" si="0"/>
        <v>26.697825000000002</v>
      </c>
      <c r="I24" s="9">
        <f t="shared" si="0"/>
        <v>27.934732499999996</v>
      </c>
      <c r="J24" s="9">
        <f t="shared" si="0"/>
        <v>3.1890000000000001</v>
      </c>
      <c r="K24" s="9">
        <f t="shared" si="0"/>
        <v>1.2922500000000001</v>
      </c>
      <c r="L24" s="14"/>
      <c r="M24" s="14"/>
      <c r="N24" s="14">
        <f>COUNTIF(N2:N21,0)</f>
        <v>13</v>
      </c>
    </row>
    <row r="25" spans="1:15" x14ac:dyDescent="0.25">
      <c r="A25" s="5" t="s">
        <v>98</v>
      </c>
      <c r="B25" s="9">
        <f>_xlfn.STDEV.S(B2:B21)</f>
        <v>9.1829604646179348</v>
      </c>
      <c r="C25" s="14">
        <f>COUNTIF(C2:C21,"Male")</f>
        <v>7</v>
      </c>
      <c r="D25" s="9">
        <f t="shared" ref="D25:K25" si="1">_xlfn.STDEV.S(D2:D21)</f>
        <v>18.926102832359668</v>
      </c>
      <c r="E25" s="9">
        <f t="shared" si="1"/>
        <v>5.9247473852433048</v>
      </c>
      <c r="F25" s="9">
        <f t="shared" si="1"/>
        <v>10.979240674894813</v>
      </c>
      <c r="G25" s="9">
        <f t="shared" si="1"/>
        <v>11.410673625271048</v>
      </c>
      <c r="H25" s="9">
        <f t="shared" si="1"/>
        <v>13.03614691721587</v>
      </c>
      <c r="I25" s="9">
        <f t="shared" si="1"/>
        <v>9.773018445475218</v>
      </c>
      <c r="J25" s="9">
        <f t="shared" si="1"/>
        <v>0.80207887786413334</v>
      </c>
      <c r="K25" s="9">
        <f t="shared" si="1"/>
        <v>0.29832636226296277</v>
      </c>
      <c r="L25" s="14"/>
      <c r="M25" s="14"/>
      <c r="N25" s="14">
        <f>COUNTIF(N2:N21,1)</f>
        <v>7</v>
      </c>
    </row>
    <row r="26" spans="1:15" x14ac:dyDescent="0.25">
      <c r="A26" s="5" t="s">
        <v>99</v>
      </c>
      <c r="B26">
        <f>MAX(B2:B21)</f>
        <v>88.55</v>
      </c>
      <c r="C26" s="14">
        <f>SUM(C24:C25)</f>
        <v>20</v>
      </c>
      <c r="D26" s="5">
        <f t="shared" ref="D26:K26" si="2">MAX(D2:D21)</f>
        <v>163</v>
      </c>
      <c r="E26" s="5">
        <f t="shared" si="2"/>
        <v>84</v>
      </c>
      <c r="F26" s="9">
        <f t="shared" si="2"/>
        <v>92.879300000000001</v>
      </c>
      <c r="G26" s="9">
        <f t="shared" si="2"/>
        <v>53.265900000000002</v>
      </c>
      <c r="H26" s="9">
        <f t="shared" si="2"/>
        <v>61.820700000000002</v>
      </c>
      <c r="I26" s="9">
        <f t="shared" si="2"/>
        <v>52.245649999999998</v>
      </c>
      <c r="J26" s="9">
        <f t="shared" si="2"/>
        <v>5.2</v>
      </c>
      <c r="K26" s="9">
        <f t="shared" si="2"/>
        <v>1.9550000000000001</v>
      </c>
      <c r="L26" s="14"/>
      <c r="M26" s="14"/>
      <c r="N26" s="14">
        <f>SUM(N24:N25)</f>
        <v>20</v>
      </c>
    </row>
    <row r="27" spans="1:15" x14ac:dyDescent="0.25">
      <c r="A27" s="5" t="s">
        <v>100</v>
      </c>
      <c r="B27">
        <f>MIN(B2:B21)</f>
        <v>56.52</v>
      </c>
      <c r="C27" s="20">
        <f>C24/(C24+C25)*100</f>
        <v>65</v>
      </c>
      <c r="D27" s="5">
        <f t="shared" ref="D27:K27" si="3">MIN(D2:D21)</f>
        <v>95</v>
      </c>
      <c r="E27" s="5">
        <f t="shared" si="3"/>
        <v>61</v>
      </c>
      <c r="F27" s="9">
        <f t="shared" si="3"/>
        <v>44.709400000000002</v>
      </c>
      <c r="G27" s="9">
        <f t="shared" si="3"/>
        <v>15.723000000000001</v>
      </c>
      <c r="H27" s="9">
        <f t="shared" si="3"/>
        <v>10.424099999999999</v>
      </c>
      <c r="I27" s="9">
        <f t="shared" si="3"/>
        <v>17.333300000000001</v>
      </c>
      <c r="J27" s="9">
        <f t="shared" si="3"/>
        <v>2.11</v>
      </c>
      <c r="K27" s="9">
        <f t="shared" si="3"/>
        <v>0.68</v>
      </c>
      <c r="L27" s="14"/>
      <c r="M27" s="14"/>
      <c r="N27" s="20">
        <f>N25/N26*100</f>
        <v>35</v>
      </c>
    </row>
    <row r="29" spans="1:15" x14ac:dyDescent="0.25">
      <c r="A29" s="15" t="s">
        <v>106</v>
      </c>
      <c r="K29" s="30" t="s">
        <v>110</v>
      </c>
      <c r="L29" s="30">
        <v>0</v>
      </c>
      <c r="M29" s="20"/>
    </row>
    <row r="30" spans="1:15" ht="18" customHeight="1" x14ac:dyDescent="0.25">
      <c r="K30" s="30" t="s">
        <v>111</v>
      </c>
      <c r="L30" s="30">
        <v>2</v>
      </c>
      <c r="M30" s="19"/>
    </row>
    <row r="31" spans="1:15" x14ac:dyDescent="0.25">
      <c r="K31" s="30" t="s">
        <v>112</v>
      </c>
      <c r="L31" s="30">
        <v>4</v>
      </c>
    </row>
    <row r="32" spans="1:15" x14ac:dyDescent="0.25">
      <c r="K32" s="29" t="s">
        <v>113</v>
      </c>
      <c r="L32" s="29">
        <v>5</v>
      </c>
    </row>
    <row r="33" spans="11:13" x14ac:dyDescent="0.25">
      <c r="K33" s="29" t="s">
        <v>114</v>
      </c>
      <c r="L33" s="29">
        <v>1</v>
      </c>
    </row>
    <row r="34" spans="11:13" x14ac:dyDescent="0.25">
      <c r="K34" s="15" t="s">
        <v>119</v>
      </c>
      <c r="L34" s="15">
        <v>8</v>
      </c>
    </row>
    <row r="35" spans="11:13" x14ac:dyDescent="0.25">
      <c r="K35" s="9"/>
    </row>
    <row r="36" spans="11:13" x14ac:dyDescent="0.25">
      <c r="M36" s="2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4"/>
  <sheetViews>
    <sheetView workbookViewId="0">
      <selection activeCell="O21" sqref="O1:O21"/>
    </sheetView>
  </sheetViews>
  <sheetFormatPr defaultRowHeight="15" x14ac:dyDescent="0.25"/>
  <cols>
    <col min="1" max="1" width="15.85546875" customWidth="1"/>
    <col min="2" max="2" width="11.5703125" style="2" customWidth="1"/>
    <col min="3" max="3" width="11.5703125" customWidth="1"/>
    <col min="4" max="4" width="9.140625" style="5"/>
    <col min="6" max="6" width="9.85546875" customWidth="1"/>
    <col min="7" max="9" width="12.140625" customWidth="1"/>
    <col min="10" max="11" width="17.28515625" style="5" customWidth="1"/>
    <col min="14" max="14" width="15.42578125" customWidth="1"/>
  </cols>
  <sheetData>
    <row r="1" spans="1:14" x14ac:dyDescent="0.25">
      <c r="A1" s="8" t="s">
        <v>20</v>
      </c>
      <c r="B1" s="6" t="s">
        <v>85</v>
      </c>
      <c r="C1" s="8" t="s">
        <v>90</v>
      </c>
      <c r="D1" s="6" t="s">
        <v>88</v>
      </c>
      <c r="E1" s="6" t="s">
        <v>89</v>
      </c>
      <c r="F1" s="8" t="s">
        <v>95</v>
      </c>
      <c r="G1" s="6" t="s">
        <v>21</v>
      </c>
      <c r="H1" s="6" t="s">
        <v>22</v>
      </c>
      <c r="I1" s="6" t="s">
        <v>23</v>
      </c>
      <c r="J1" s="6" t="s">
        <v>86</v>
      </c>
      <c r="K1" s="8" t="s">
        <v>87</v>
      </c>
      <c r="L1" s="6" t="s">
        <v>93</v>
      </c>
      <c r="M1" s="6" t="s">
        <v>94</v>
      </c>
      <c r="N1" s="8" t="s">
        <v>96</v>
      </c>
    </row>
    <row r="2" spans="1:14" x14ac:dyDescent="0.25">
      <c r="A2" s="7" t="s">
        <v>24</v>
      </c>
      <c r="B2" s="3">
        <v>62.76</v>
      </c>
      <c r="C2" s="7" t="s">
        <v>91</v>
      </c>
      <c r="D2" s="5">
        <v>121</v>
      </c>
      <c r="E2" s="5">
        <v>74</v>
      </c>
      <c r="F2" s="7">
        <v>55.4529</v>
      </c>
      <c r="G2">
        <v>27.581900000000001</v>
      </c>
      <c r="H2">
        <v>27.686900000000001</v>
      </c>
      <c r="I2">
        <v>27.634399999999999</v>
      </c>
      <c r="J2" s="5">
        <v>3.74</v>
      </c>
      <c r="K2" s="7">
        <v>1.1200000000000001</v>
      </c>
      <c r="L2" s="5">
        <v>3</v>
      </c>
      <c r="M2" s="5">
        <v>4</v>
      </c>
      <c r="N2" s="7">
        <v>0</v>
      </c>
    </row>
    <row r="3" spans="1:14" x14ac:dyDescent="0.25">
      <c r="A3" s="7" t="s">
        <v>25</v>
      </c>
      <c r="B3" s="3">
        <v>59.66</v>
      </c>
      <c r="C3" s="7" t="s">
        <v>92</v>
      </c>
      <c r="D3" s="5">
        <v>130</v>
      </c>
      <c r="E3" s="5">
        <v>89</v>
      </c>
      <c r="F3" s="7">
        <v>71.428600000000003</v>
      </c>
      <c r="G3">
        <v>17.145</v>
      </c>
      <c r="H3">
        <v>20.784800000000001</v>
      </c>
      <c r="I3">
        <v>18.9649</v>
      </c>
      <c r="J3" s="5">
        <v>4.0999999999999996</v>
      </c>
      <c r="K3" s="7">
        <v>1</v>
      </c>
      <c r="L3" s="5">
        <v>3</v>
      </c>
      <c r="M3" s="5">
        <v>3</v>
      </c>
      <c r="N3" s="7">
        <v>0</v>
      </c>
    </row>
    <row r="4" spans="1:14" x14ac:dyDescent="0.25">
      <c r="A4" s="7" t="s">
        <v>26</v>
      </c>
      <c r="B4" s="3">
        <v>54.12</v>
      </c>
      <c r="C4" s="7" t="s">
        <v>91</v>
      </c>
      <c r="D4" s="5">
        <v>143</v>
      </c>
      <c r="E4" s="5">
        <v>88</v>
      </c>
      <c r="F4" s="7">
        <v>56.390999999999998</v>
      </c>
      <c r="G4">
        <v>28.2271</v>
      </c>
      <c r="H4">
        <v>20.3674</v>
      </c>
      <c r="I4">
        <v>24.297249999999998</v>
      </c>
      <c r="J4" s="5">
        <v>4.4349999999999996</v>
      </c>
      <c r="K4" s="7">
        <v>1.155</v>
      </c>
      <c r="L4" s="5">
        <v>3</v>
      </c>
      <c r="M4" s="5">
        <v>3</v>
      </c>
      <c r="N4" s="7">
        <v>1</v>
      </c>
    </row>
    <row r="5" spans="1:14" x14ac:dyDescent="0.25">
      <c r="A5" s="7" t="s">
        <v>27</v>
      </c>
      <c r="B5" s="3">
        <v>67.52</v>
      </c>
      <c r="C5" s="7" t="s">
        <v>92</v>
      </c>
      <c r="D5" s="5">
        <v>147</v>
      </c>
      <c r="E5" s="5">
        <v>81</v>
      </c>
      <c r="F5" s="7">
        <v>39.682499999999997</v>
      </c>
      <c r="G5">
        <v>16.266100000000002</v>
      </c>
      <c r="H5">
        <v>24.978899999999999</v>
      </c>
      <c r="I5">
        <v>20.622499999999999</v>
      </c>
      <c r="J5" s="5">
        <v>3.7800000000000002</v>
      </c>
      <c r="K5" s="7">
        <v>1.21</v>
      </c>
      <c r="L5" s="5">
        <v>3</v>
      </c>
      <c r="M5" s="5">
        <v>3</v>
      </c>
      <c r="N5" s="7">
        <v>0</v>
      </c>
    </row>
    <row r="6" spans="1:14" x14ac:dyDescent="0.25">
      <c r="A6" s="7" t="s">
        <v>28</v>
      </c>
      <c r="B6" s="3">
        <v>78.06</v>
      </c>
      <c r="C6" s="7" t="s">
        <v>91</v>
      </c>
      <c r="D6" s="5">
        <v>126</v>
      </c>
      <c r="E6" s="5">
        <v>81</v>
      </c>
      <c r="F6" s="7">
        <v>59.055100000000003</v>
      </c>
      <c r="G6">
        <v>5.3331999999999997</v>
      </c>
      <c r="H6">
        <v>31.060400000000001</v>
      </c>
      <c r="I6">
        <v>18.1968</v>
      </c>
      <c r="J6" s="5">
        <v>2.7349999999999999</v>
      </c>
      <c r="K6" s="7">
        <v>1.25</v>
      </c>
      <c r="L6" s="5">
        <v>3</v>
      </c>
      <c r="M6" s="5">
        <v>4</v>
      </c>
      <c r="N6" s="7">
        <v>0</v>
      </c>
    </row>
    <row r="7" spans="1:14" x14ac:dyDescent="0.25">
      <c r="A7" s="7" t="s">
        <v>29</v>
      </c>
      <c r="B7" s="3">
        <v>84.33</v>
      </c>
      <c r="C7" s="7" t="s">
        <v>92</v>
      </c>
      <c r="F7" s="7">
        <v>62.893099999999997</v>
      </c>
      <c r="G7">
        <v>19.254100000000001</v>
      </c>
      <c r="H7">
        <v>4.8137999999999996</v>
      </c>
      <c r="I7">
        <v>12.033950000000001</v>
      </c>
      <c r="J7" s="5">
        <v>2.77</v>
      </c>
      <c r="K7" s="7">
        <v>1.07</v>
      </c>
      <c r="L7" s="5">
        <v>3</v>
      </c>
      <c r="M7" s="5">
        <v>3</v>
      </c>
      <c r="N7" s="7">
        <v>1</v>
      </c>
    </row>
    <row r="8" spans="1:14" x14ac:dyDescent="0.25">
      <c r="A8" s="7" t="s">
        <v>30</v>
      </c>
      <c r="B8" s="3">
        <v>49.85</v>
      </c>
      <c r="C8" s="7" t="s">
        <v>91</v>
      </c>
      <c r="D8" s="5">
        <v>127</v>
      </c>
      <c r="E8" s="5">
        <v>83</v>
      </c>
      <c r="F8" s="7">
        <v>63.5593</v>
      </c>
      <c r="G8">
        <v>19.887499999999999</v>
      </c>
      <c r="H8">
        <v>32.169899999999998</v>
      </c>
      <c r="I8">
        <v>26.028700000000001</v>
      </c>
      <c r="J8" s="5">
        <v>4.01</v>
      </c>
      <c r="K8" s="7">
        <v>0.93499999999999994</v>
      </c>
      <c r="L8" s="5">
        <v>2</v>
      </c>
      <c r="M8" s="5">
        <v>3</v>
      </c>
      <c r="N8" s="7">
        <v>1</v>
      </c>
    </row>
    <row r="9" spans="1:14" x14ac:dyDescent="0.25">
      <c r="A9" s="7" t="s">
        <v>31</v>
      </c>
      <c r="B9" s="3">
        <v>65.62</v>
      </c>
      <c r="C9" s="7" t="s">
        <v>91</v>
      </c>
      <c r="D9" s="5">
        <v>145</v>
      </c>
      <c r="E9" s="5">
        <v>86</v>
      </c>
      <c r="F9" s="7">
        <v>64.102599999999995</v>
      </c>
      <c r="G9">
        <v>13.873200000000001</v>
      </c>
      <c r="H9">
        <v>6.3986000000000001</v>
      </c>
      <c r="I9">
        <v>10.135899999999999</v>
      </c>
      <c r="J9" s="5">
        <v>3.1850000000000001</v>
      </c>
      <c r="K9" s="7">
        <v>1.02</v>
      </c>
      <c r="L9" s="5">
        <v>3</v>
      </c>
      <c r="M9" s="5">
        <v>4</v>
      </c>
      <c r="N9" s="7">
        <v>1</v>
      </c>
    </row>
    <row r="10" spans="1:14" x14ac:dyDescent="0.25">
      <c r="A10" s="7" t="s">
        <v>32</v>
      </c>
      <c r="B10" s="3">
        <v>87.16</v>
      </c>
      <c r="C10" s="7" t="s">
        <v>91</v>
      </c>
      <c r="D10" s="5">
        <v>99</v>
      </c>
      <c r="E10" s="5">
        <v>62</v>
      </c>
      <c r="F10" s="7">
        <v>62.761499999999998</v>
      </c>
      <c r="G10">
        <v>29.940899999999999</v>
      </c>
      <c r="H10">
        <v>24.875399999999999</v>
      </c>
      <c r="I10">
        <v>27.408149999999999</v>
      </c>
      <c r="J10" s="5">
        <v>3.6399999999999997</v>
      </c>
      <c r="K10" s="7">
        <v>1.3025</v>
      </c>
      <c r="L10" s="5">
        <v>2</v>
      </c>
      <c r="M10" s="5">
        <v>3</v>
      </c>
      <c r="N10" s="7">
        <v>1</v>
      </c>
    </row>
    <row r="11" spans="1:14" x14ac:dyDescent="0.25">
      <c r="A11" s="7" t="s">
        <v>33</v>
      </c>
      <c r="B11" s="3">
        <v>67.64</v>
      </c>
      <c r="C11" s="7" t="s">
        <v>92</v>
      </c>
      <c r="D11" s="5">
        <v>136</v>
      </c>
      <c r="E11" s="5">
        <v>83</v>
      </c>
      <c r="F11" s="7">
        <v>69.930099999999996</v>
      </c>
      <c r="G11">
        <v>41.441499999999998</v>
      </c>
      <c r="H11">
        <v>10.4872</v>
      </c>
      <c r="I11">
        <v>25.96435</v>
      </c>
      <c r="J11" s="5">
        <v>3.2050000000000001</v>
      </c>
      <c r="K11" s="7">
        <v>0.9</v>
      </c>
      <c r="L11" s="5">
        <v>3</v>
      </c>
      <c r="M11" s="5">
        <v>3</v>
      </c>
      <c r="N11" s="7">
        <v>0</v>
      </c>
    </row>
    <row r="12" spans="1:14" x14ac:dyDescent="0.25">
      <c r="A12" s="7" t="s">
        <v>34</v>
      </c>
      <c r="B12" s="3">
        <v>77.31</v>
      </c>
      <c r="C12" s="7" t="s">
        <v>92</v>
      </c>
      <c r="D12" s="5">
        <v>152</v>
      </c>
      <c r="E12" s="5">
        <v>78</v>
      </c>
      <c r="F12" s="7">
        <v>84.2697</v>
      </c>
      <c r="G12">
        <v>13.9336</v>
      </c>
      <c r="H12">
        <v>24.604500000000002</v>
      </c>
      <c r="I12">
        <v>19.26905</v>
      </c>
      <c r="J12" s="5">
        <v>4.2149999999999999</v>
      </c>
      <c r="K12" s="7">
        <v>1.05</v>
      </c>
      <c r="L12" s="5">
        <v>3</v>
      </c>
      <c r="M12" s="5">
        <v>4</v>
      </c>
      <c r="N12" s="7">
        <v>0</v>
      </c>
    </row>
    <row r="13" spans="1:14" x14ac:dyDescent="0.25">
      <c r="A13" s="7" t="s">
        <v>35</v>
      </c>
      <c r="B13" s="3">
        <v>62.94</v>
      </c>
      <c r="C13" s="7" t="s">
        <v>92</v>
      </c>
      <c r="D13" s="5">
        <v>125</v>
      </c>
      <c r="E13" s="5">
        <v>79</v>
      </c>
      <c r="F13" s="7">
        <v>62.370100000000001</v>
      </c>
      <c r="G13">
        <v>17.1401</v>
      </c>
      <c r="H13">
        <v>18.2591</v>
      </c>
      <c r="I13">
        <v>17.6996</v>
      </c>
      <c r="J13" s="5">
        <v>2.94</v>
      </c>
      <c r="K13" s="7">
        <v>1.1800000000000002</v>
      </c>
      <c r="L13" s="5">
        <v>3</v>
      </c>
      <c r="M13" s="5">
        <v>3</v>
      </c>
      <c r="N13" s="7">
        <v>0</v>
      </c>
    </row>
    <row r="14" spans="1:14" x14ac:dyDescent="0.25">
      <c r="A14" s="7" t="s">
        <v>36</v>
      </c>
      <c r="B14" s="3">
        <v>85.92</v>
      </c>
      <c r="C14" s="7" t="s">
        <v>91</v>
      </c>
      <c r="D14" s="5">
        <v>166</v>
      </c>
      <c r="E14" s="5">
        <v>72</v>
      </c>
      <c r="F14" s="7">
        <v>55.147100000000002</v>
      </c>
      <c r="G14">
        <v>39.103000000000002</v>
      </c>
      <c r="H14">
        <v>18.5565</v>
      </c>
      <c r="I14">
        <v>28.829750000000001</v>
      </c>
      <c r="J14" s="5">
        <v>4.0199999999999996</v>
      </c>
      <c r="K14" s="7">
        <v>1.4350000000000001</v>
      </c>
      <c r="L14" s="5">
        <v>3</v>
      </c>
      <c r="M14" s="5">
        <v>3</v>
      </c>
      <c r="N14" s="7">
        <v>0</v>
      </c>
    </row>
    <row r="15" spans="1:14" x14ac:dyDescent="0.25">
      <c r="A15" s="7" t="s">
        <v>37</v>
      </c>
      <c r="B15" s="3">
        <v>78.34</v>
      </c>
      <c r="C15" s="7" t="s">
        <v>92</v>
      </c>
      <c r="D15" s="5">
        <v>129</v>
      </c>
      <c r="E15" s="5">
        <v>73</v>
      </c>
      <c r="F15" s="7">
        <v>50.167200000000001</v>
      </c>
      <c r="H15">
        <v>26.647500000000001</v>
      </c>
      <c r="I15">
        <v>26.647500000000001</v>
      </c>
      <c r="J15" s="5">
        <v>3.24</v>
      </c>
      <c r="K15" s="7">
        <v>1.24</v>
      </c>
      <c r="L15" s="5">
        <v>2</v>
      </c>
      <c r="M15" s="5">
        <v>3</v>
      </c>
      <c r="N15" s="7">
        <v>0</v>
      </c>
    </row>
    <row r="16" spans="1:14" x14ac:dyDescent="0.25">
      <c r="A16" s="7" t="s">
        <v>38</v>
      </c>
      <c r="B16" s="3">
        <v>81.680000000000007</v>
      </c>
      <c r="C16" s="7" t="s">
        <v>92</v>
      </c>
      <c r="D16" s="5">
        <v>144</v>
      </c>
      <c r="E16" s="5">
        <v>77</v>
      </c>
      <c r="F16" s="7">
        <v>66.225200000000001</v>
      </c>
      <c r="G16">
        <v>20.206499999999998</v>
      </c>
      <c r="H16">
        <v>30.657499999999999</v>
      </c>
      <c r="I16">
        <v>25.431999999999999</v>
      </c>
      <c r="J16" s="5">
        <v>3.0199999999999996</v>
      </c>
      <c r="K16" s="7">
        <v>1.3599999999999999</v>
      </c>
      <c r="L16" s="5"/>
      <c r="M16" s="5"/>
      <c r="N16" s="7">
        <v>1</v>
      </c>
    </row>
    <row r="17" spans="1:14" x14ac:dyDescent="0.25">
      <c r="A17" s="7" t="s">
        <v>39</v>
      </c>
      <c r="B17" s="3">
        <v>81.8</v>
      </c>
      <c r="C17" s="7" t="s">
        <v>92</v>
      </c>
      <c r="D17" s="5">
        <v>132</v>
      </c>
      <c r="E17" s="5">
        <v>71</v>
      </c>
      <c r="F17" s="7">
        <v>66.225200000000001</v>
      </c>
      <c r="G17">
        <v>52.933399999999999</v>
      </c>
      <c r="H17">
        <v>27.706399999999999</v>
      </c>
      <c r="I17">
        <v>40.319899999999997</v>
      </c>
      <c r="J17" s="5">
        <v>3.04</v>
      </c>
      <c r="K17" s="7">
        <v>1.5699999999999998</v>
      </c>
      <c r="L17" s="5"/>
      <c r="M17" s="5"/>
      <c r="N17" s="7">
        <v>1</v>
      </c>
    </row>
    <row r="18" spans="1:14" x14ac:dyDescent="0.25">
      <c r="A18" s="7" t="s">
        <v>40</v>
      </c>
      <c r="B18" s="3">
        <v>74.819999999999993</v>
      </c>
      <c r="C18" s="7" t="s">
        <v>91</v>
      </c>
      <c r="D18" s="5">
        <v>119</v>
      </c>
      <c r="E18" s="5">
        <v>75</v>
      </c>
      <c r="F18" s="7">
        <v>48</v>
      </c>
      <c r="G18">
        <v>19.4512</v>
      </c>
      <c r="H18">
        <v>18.883700000000001</v>
      </c>
      <c r="I18">
        <v>19.167449999999999</v>
      </c>
      <c r="J18" s="5">
        <v>3.9800000000000004</v>
      </c>
      <c r="K18" s="7">
        <v>1.1399999999999999</v>
      </c>
      <c r="L18" s="5"/>
      <c r="M18" s="5"/>
      <c r="N18" s="7">
        <v>0</v>
      </c>
    </row>
    <row r="19" spans="1:14" x14ac:dyDescent="0.25">
      <c r="A19" s="7" t="s">
        <v>41</v>
      </c>
      <c r="B19" s="3">
        <v>66.64</v>
      </c>
      <c r="C19" s="7" t="s">
        <v>92</v>
      </c>
      <c r="D19" s="5">
        <v>124</v>
      </c>
      <c r="E19" s="5">
        <v>76</v>
      </c>
      <c r="F19" s="7">
        <v>51.7241</v>
      </c>
      <c r="G19">
        <v>31.464300000000001</v>
      </c>
      <c r="H19">
        <v>27.0182</v>
      </c>
      <c r="I19">
        <v>29.241250000000001</v>
      </c>
      <c r="J19" s="5">
        <v>3.57</v>
      </c>
      <c r="K19" s="7">
        <v>1.1400000000000001</v>
      </c>
      <c r="L19" s="5"/>
      <c r="M19" s="5"/>
      <c r="N19" s="7">
        <v>0</v>
      </c>
    </row>
    <row r="20" spans="1:14" x14ac:dyDescent="0.25">
      <c r="A20" s="7" t="s">
        <v>42</v>
      </c>
      <c r="B20" s="3">
        <v>75.66</v>
      </c>
      <c r="C20" s="7" t="s">
        <v>91</v>
      </c>
      <c r="D20" s="5">
        <v>128</v>
      </c>
      <c r="E20" s="5">
        <v>79</v>
      </c>
      <c r="F20" s="7">
        <v>43.923900000000003</v>
      </c>
      <c r="G20">
        <v>24.220099999999999</v>
      </c>
      <c r="H20">
        <v>24.425599999999999</v>
      </c>
      <c r="I20">
        <v>24.322849999999999</v>
      </c>
      <c r="J20" s="5">
        <v>3.09</v>
      </c>
      <c r="K20" s="7">
        <v>1.2849999999999999</v>
      </c>
      <c r="L20" s="5"/>
      <c r="M20" s="5"/>
      <c r="N20" s="7">
        <v>1</v>
      </c>
    </row>
    <row r="21" spans="1:14" x14ac:dyDescent="0.25">
      <c r="A21" s="8" t="s">
        <v>43</v>
      </c>
      <c r="B21" s="6">
        <v>70.33</v>
      </c>
      <c r="C21" s="8" t="s">
        <v>91</v>
      </c>
      <c r="D21" s="6">
        <v>160</v>
      </c>
      <c r="E21" s="6">
        <v>90</v>
      </c>
      <c r="F21" s="8">
        <v>49.505000000000003</v>
      </c>
      <c r="G21" s="6">
        <v>20.232299999999999</v>
      </c>
      <c r="H21" s="6">
        <v>43.626800000000003</v>
      </c>
      <c r="I21" s="6">
        <v>31.929549999999999</v>
      </c>
      <c r="J21" s="6">
        <v>4.0750000000000002</v>
      </c>
      <c r="K21" s="8">
        <v>1.375</v>
      </c>
      <c r="L21" s="6"/>
      <c r="M21" s="6"/>
      <c r="N21" s="8">
        <v>0</v>
      </c>
    </row>
    <row r="23" spans="1:14" x14ac:dyDescent="0.25">
      <c r="A23" s="11" t="str">
        <f>"# SUBJECTS= " &amp; COUNTA(A2:A21)</f>
        <v># SUBJECTS= 20</v>
      </c>
      <c r="B23" s="5"/>
      <c r="C23" s="12" t="s">
        <v>92</v>
      </c>
      <c r="E23" s="5"/>
      <c r="F23" s="5"/>
      <c r="G23" s="5"/>
      <c r="H23" s="5"/>
      <c r="I23" s="5"/>
      <c r="L23" s="5"/>
      <c r="M23" s="5"/>
      <c r="N23" s="5"/>
    </row>
    <row r="24" spans="1:14" x14ac:dyDescent="0.25">
      <c r="A24" s="5" t="s">
        <v>97</v>
      </c>
      <c r="B24" s="9">
        <f>AVERAGE(B2:B21)</f>
        <v>71.608000000000004</v>
      </c>
      <c r="C24" s="5">
        <f>COUNTIF(C2:C21,"Female")</f>
        <v>10</v>
      </c>
      <c r="D24" s="9">
        <f t="shared" ref="D24:K24" si="0">AVERAGE(D2:D21)</f>
        <v>134.36842105263159</v>
      </c>
      <c r="E24" s="9">
        <f t="shared" si="0"/>
        <v>78.78947368421052</v>
      </c>
      <c r="F24" s="9">
        <f t="shared" si="0"/>
        <v>59.140709999999999</v>
      </c>
      <c r="G24" s="9">
        <f t="shared" si="0"/>
        <v>24.086052631578948</v>
      </c>
      <c r="H24" s="9">
        <f t="shared" si="0"/>
        <v>23.200454999999994</v>
      </c>
      <c r="I24" s="9">
        <f t="shared" si="0"/>
        <v>23.70729</v>
      </c>
      <c r="J24" s="9">
        <f t="shared" si="0"/>
        <v>3.5394999999999994</v>
      </c>
      <c r="K24" s="9">
        <f t="shared" si="0"/>
        <v>1.1868750000000001</v>
      </c>
      <c r="L24" s="5"/>
      <c r="M24" s="5"/>
      <c r="N24" s="5"/>
    </row>
    <row r="25" spans="1:14" x14ac:dyDescent="0.25">
      <c r="A25" s="5" t="s">
        <v>98</v>
      </c>
      <c r="B25" s="9">
        <f>_xlfn.STDEV.S(B2:B21)</f>
        <v>10.588250489153154</v>
      </c>
      <c r="C25" s="5"/>
      <c r="D25" s="9">
        <f t="shared" ref="D25:K25" si="1">_xlfn.STDEV.S(D2:D21)</f>
        <v>15.794550840632018</v>
      </c>
      <c r="E25" s="9">
        <f t="shared" si="1"/>
        <v>7.0045933133466134</v>
      </c>
      <c r="F25" s="9">
        <f t="shared" si="1"/>
        <v>10.464968544519822</v>
      </c>
      <c r="G25" s="9">
        <f t="shared" si="1"/>
        <v>11.269365420829475</v>
      </c>
      <c r="H25" s="9">
        <f t="shared" si="1"/>
        <v>9.0375822376676336</v>
      </c>
      <c r="I25" s="9">
        <f t="shared" si="1"/>
        <v>6.9267542895303027</v>
      </c>
      <c r="J25" s="9">
        <f t="shared" si="1"/>
        <v>0.52625514124254869</v>
      </c>
      <c r="K25" s="9">
        <f t="shared" si="1"/>
        <v>0.17089330889860851</v>
      </c>
      <c r="L25" s="5"/>
      <c r="M25" s="5"/>
      <c r="N25" s="5"/>
    </row>
    <row r="26" spans="1:14" x14ac:dyDescent="0.25">
      <c r="A26" s="5" t="s">
        <v>99</v>
      </c>
      <c r="B26" s="5">
        <f>MAX(B2:B21)</f>
        <v>87.16</v>
      </c>
      <c r="C26" s="5"/>
      <c r="D26" s="5">
        <f t="shared" ref="D26:K26" si="2">MAX(D2:D21)</f>
        <v>166</v>
      </c>
      <c r="E26" s="5">
        <f t="shared" si="2"/>
        <v>90</v>
      </c>
      <c r="F26" s="9">
        <f t="shared" si="2"/>
        <v>84.2697</v>
      </c>
      <c r="G26" s="9">
        <f t="shared" si="2"/>
        <v>52.933399999999999</v>
      </c>
      <c r="H26" s="9">
        <f t="shared" si="2"/>
        <v>43.626800000000003</v>
      </c>
      <c r="I26" s="9">
        <f t="shared" si="2"/>
        <v>40.319899999999997</v>
      </c>
      <c r="J26" s="9">
        <f t="shared" si="2"/>
        <v>4.4349999999999996</v>
      </c>
      <c r="K26" s="9">
        <f t="shared" si="2"/>
        <v>1.5699999999999998</v>
      </c>
      <c r="L26" s="5"/>
      <c r="M26" s="5"/>
      <c r="N26" s="5"/>
    </row>
    <row r="27" spans="1:14" x14ac:dyDescent="0.25">
      <c r="A27" s="5" t="s">
        <v>100</v>
      </c>
      <c r="B27" s="5">
        <f>MIN(B2:B21)</f>
        <v>49.85</v>
      </c>
      <c r="C27" s="5"/>
      <c r="D27" s="5">
        <f t="shared" ref="D27:K27" si="3">MIN(D2:D21)</f>
        <v>99</v>
      </c>
      <c r="E27" s="5">
        <f t="shared" si="3"/>
        <v>62</v>
      </c>
      <c r="F27" s="9">
        <f t="shared" si="3"/>
        <v>39.682499999999997</v>
      </c>
      <c r="G27" s="9">
        <f t="shared" si="3"/>
        <v>5.3331999999999997</v>
      </c>
      <c r="H27" s="9">
        <f t="shared" si="3"/>
        <v>4.8137999999999996</v>
      </c>
      <c r="I27" s="9">
        <f t="shared" si="3"/>
        <v>10.135899999999999</v>
      </c>
      <c r="J27" s="9">
        <f t="shared" si="3"/>
        <v>2.7349999999999999</v>
      </c>
      <c r="K27" s="9">
        <f t="shared" si="3"/>
        <v>0.9</v>
      </c>
      <c r="L27" s="5"/>
      <c r="M27" s="5"/>
      <c r="N27" s="5"/>
    </row>
    <row r="28" spans="1:14" x14ac:dyDescent="0.25">
      <c r="A28" s="5"/>
      <c r="B28" s="5"/>
      <c r="C28" s="5"/>
      <c r="E28" s="5"/>
      <c r="F28" s="5"/>
      <c r="G28" s="5"/>
      <c r="H28" s="5"/>
      <c r="I28" s="5"/>
      <c r="L28" s="5"/>
      <c r="M28" s="5"/>
      <c r="N28" s="5"/>
    </row>
    <row r="34" ht="18" customHeight="1" x14ac:dyDescent="0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6"/>
  <sheetViews>
    <sheetView topLeftCell="A32" workbookViewId="0">
      <selection activeCell="C2" sqref="C2:C42"/>
    </sheetView>
  </sheetViews>
  <sheetFormatPr defaultRowHeight="15" x14ac:dyDescent="0.25"/>
  <cols>
    <col min="1" max="1" width="15.85546875" customWidth="1"/>
    <col min="2" max="3" width="11.5703125" customWidth="1"/>
    <col min="4" max="4" width="9.140625" style="5"/>
    <col min="6" max="6" width="9.85546875" style="5" customWidth="1"/>
    <col min="7" max="9" width="12.140625" customWidth="1"/>
    <col min="10" max="11" width="17.28515625" customWidth="1"/>
    <col min="12" max="12" width="9.140625" style="5"/>
    <col min="14" max="14" width="15.5703125" style="5" customWidth="1"/>
  </cols>
  <sheetData>
    <row r="1" spans="1:14" x14ac:dyDescent="0.25">
      <c r="A1" s="8" t="s">
        <v>20</v>
      </c>
      <c r="B1" s="6" t="s">
        <v>85</v>
      </c>
      <c r="C1" s="8" t="s">
        <v>90</v>
      </c>
      <c r="D1" s="6" t="s">
        <v>88</v>
      </c>
      <c r="E1" s="6" t="s">
        <v>89</v>
      </c>
      <c r="F1" s="8" t="s">
        <v>95</v>
      </c>
      <c r="G1" s="6" t="s">
        <v>21</v>
      </c>
      <c r="H1" s="6" t="s">
        <v>22</v>
      </c>
      <c r="I1" s="6" t="s">
        <v>23</v>
      </c>
      <c r="J1" s="6" t="s">
        <v>86</v>
      </c>
      <c r="K1" s="8" t="s">
        <v>87</v>
      </c>
      <c r="L1" s="6" t="s">
        <v>93</v>
      </c>
      <c r="M1" s="6" t="s">
        <v>94</v>
      </c>
      <c r="N1" s="8" t="s">
        <v>96</v>
      </c>
    </row>
    <row r="2" spans="1:14" x14ac:dyDescent="0.25">
      <c r="A2" s="7" t="s">
        <v>82</v>
      </c>
      <c r="B2" s="4">
        <v>69.3</v>
      </c>
      <c r="C2" s="7" t="s">
        <v>92</v>
      </c>
      <c r="D2" s="5">
        <v>107</v>
      </c>
      <c r="E2" s="5">
        <v>67</v>
      </c>
      <c r="F2" s="7">
        <v>60</v>
      </c>
      <c r="G2">
        <v>3.4546000000000001</v>
      </c>
      <c r="H2">
        <v>38.375799999999998</v>
      </c>
      <c r="I2">
        <v>20.915199999999999</v>
      </c>
      <c r="J2">
        <v>3.9350000000000001</v>
      </c>
      <c r="K2" s="7">
        <v>1.0249999999999999</v>
      </c>
      <c r="L2" s="5">
        <v>3</v>
      </c>
      <c r="M2">
        <v>3</v>
      </c>
      <c r="N2" s="7">
        <v>0</v>
      </c>
    </row>
    <row r="3" spans="1:14" x14ac:dyDescent="0.25">
      <c r="A3" s="7" t="s">
        <v>81</v>
      </c>
      <c r="B3" s="4">
        <v>70.349999999999994</v>
      </c>
      <c r="C3" s="7" t="s">
        <v>92</v>
      </c>
      <c r="D3" s="5">
        <v>140</v>
      </c>
      <c r="E3" s="5">
        <v>80</v>
      </c>
      <c r="F3" s="7">
        <v>58.939100000000003</v>
      </c>
      <c r="G3">
        <v>10.974</v>
      </c>
      <c r="H3">
        <v>7.8829000000000002</v>
      </c>
      <c r="I3">
        <v>9.4284499999999998</v>
      </c>
      <c r="J3">
        <v>3.145</v>
      </c>
      <c r="K3" s="7">
        <v>1.385</v>
      </c>
      <c r="L3" s="5">
        <v>3</v>
      </c>
      <c r="M3">
        <v>3</v>
      </c>
      <c r="N3" s="7">
        <v>0</v>
      </c>
    </row>
    <row r="4" spans="1:14" x14ac:dyDescent="0.25">
      <c r="A4" s="7" t="s">
        <v>80</v>
      </c>
      <c r="B4" s="4">
        <v>66.91</v>
      </c>
      <c r="C4" s="7" t="s">
        <v>91</v>
      </c>
      <c r="D4" s="5">
        <v>142</v>
      </c>
      <c r="E4" s="5">
        <v>87</v>
      </c>
      <c r="F4" s="7">
        <v>74.441699999999997</v>
      </c>
      <c r="G4">
        <v>15.637600000000001</v>
      </c>
      <c r="H4">
        <v>3.7263000000000002</v>
      </c>
      <c r="I4">
        <v>9.6819500000000005</v>
      </c>
      <c r="J4">
        <v>3.9</v>
      </c>
      <c r="K4" s="7">
        <v>1.22</v>
      </c>
      <c r="L4" s="5">
        <v>3</v>
      </c>
      <c r="M4">
        <v>3</v>
      </c>
      <c r="N4" s="7">
        <v>0</v>
      </c>
    </row>
    <row r="5" spans="1:14" x14ac:dyDescent="0.25">
      <c r="A5" s="7" t="s">
        <v>79</v>
      </c>
      <c r="B5" s="4">
        <v>71.31</v>
      </c>
      <c r="C5" s="7" t="s">
        <v>91</v>
      </c>
      <c r="D5" s="5">
        <v>162</v>
      </c>
      <c r="E5" s="5">
        <v>74</v>
      </c>
      <c r="F5" s="7">
        <v>54.545499999999997</v>
      </c>
      <c r="G5">
        <v>36.79</v>
      </c>
      <c r="H5">
        <v>17.307400000000001</v>
      </c>
      <c r="I5">
        <v>27.0487</v>
      </c>
      <c r="J5">
        <v>2.2149999999999999</v>
      </c>
      <c r="K5" s="7">
        <v>1.64</v>
      </c>
      <c r="L5" s="5">
        <v>3</v>
      </c>
      <c r="M5">
        <v>3</v>
      </c>
      <c r="N5" s="7">
        <v>0</v>
      </c>
    </row>
    <row r="6" spans="1:14" x14ac:dyDescent="0.25">
      <c r="A6" s="7" t="s">
        <v>78</v>
      </c>
      <c r="B6" s="4">
        <v>77.41</v>
      </c>
      <c r="C6" s="7" t="s">
        <v>92</v>
      </c>
      <c r="D6" s="5">
        <v>136</v>
      </c>
      <c r="E6" s="5">
        <v>82</v>
      </c>
      <c r="F6" s="7">
        <v>67.264600000000002</v>
      </c>
      <c r="G6">
        <v>6.0811999999999999</v>
      </c>
      <c r="H6">
        <v>17.605</v>
      </c>
      <c r="I6">
        <v>11.8431</v>
      </c>
      <c r="J6">
        <v>3.3449999999999998</v>
      </c>
      <c r="K6" s="7">
        <v>1.23</v>
      </c>
      <c r="L6" s="5">
        <v>3</v>
      </c>
      <c r="M6">
        <v>3</v>
      </c>
      <c r="N6" s="7">
        <v>0</v>
      </c>
    </row>
    <row r="7" spans="1:14" x14ac:dyDescent="0.25">
      <c r="A7" s="7" t="s">
        <v>83</v>
      </c>
      <c r="B7" s="4">
        <v>73.739999999999995</v>
      </c>
      <c r="C7" s="7" t="s">
        <v>91</v>
      </c>
      <c r="D7" s="5">
        <v>134</v>
      </c>
      <c r="E7" s="5">
        <v>74</v>
      </c>
      <c r="F7" s="7">
        <v>55.248600000000003</v>
      </c>
      <c r="G7">
        <v>4.5717999999999996</v>
      </c>
      <c r="H7">
        <v>11.305099999999999</v>
      </c>
      <c r="I7">
        <v>7.9384499999999996</v>
      </c>
      <c r="J7">
        <v>3.96</v>
      </c>
      <c r="K7" s="7">
        <v>1.385</v>
      </c>
      <c r="L7" s="5">
        <v>3</v>
      </c>
      <c r="M7">
        <v>3</v>
      </c>
      <c r="N7" s="7">
        <v>0</v>
      </c>
    </row>
    <row r="8" spans="1:14" x14ac:dyDescent="0.25">
      <c r="A8" s="7" t="s">
        <v>77</v>
      </c>
      <c r="B8" s="4">
        <v>69.86</v>
      </c>
      <c r="C8" s="7" t="s">
        <v>92</v>
      </c>
      <c r="D8" s="5">
        <v>110</v>
      </c>
      <c r="E8" s="5">
        <v>68</v>
      </c>
      <c r="F8" s="7">
        <v>52.173900000000003</v>
      </c>
      <c r="G8">
        <v>9.9057999999999993</v>
      </c>
      <c r="H8">
        <v>9.5238999999999994</v>
      </c>
      <c r="I8">
        <v>9.7148500000000002</v>
      </c>
      <c r="J8">
        <v>3.7199999999999998</v>
      </c>
      <c r="K8" s="7">
        <v>1.56</v>
      </c>
      <c r="L8" s="5">
        <v>3</v>
      </c>
      <c r="M8">
        <v>3</v>
      </c>
      <c r="N8" s="7">
        <v>0</v>
      </c>
    </row>
    <row r="9" spans="1:14" x14ac:dyDescent="0.25">
      <c r="A9" s="7" t="s">
        <v>76</v>
      </c>
      <c r="B9" s="4">
        <v>70.31</v>
      </c>
      <c r="C9" s="7" t="s">
        <v>91</v>
      </c>
      <c r="D9" s="5">
        <v>136</v>
      </c>
      <c r="E9" s="5">
        <v>80</v>
      </c>
      <c r="F9" s="7">
        <v>64.794799999999995</v>
      </c>
      <c r="G9">
        <v>7.2276999999999996</v>
      </c>
      <c r="H9">
        <v>12.5649</v>
      </c>
      <c r="I9">
        <v>9.8963000000000001</v>
      </c>
      <c r="J9">
        <v>3.87</v>
      </c>
      <c r="K9" s="7">
        <v>1.145</v>
      </c>
      <c r="L9" s="5">
        <v>3</v>
      </c>
      <c r="M9">
        <v>3</v>
      </c>
      <c r="N9" s="7">
        <v>0</v>
      </c>
    </row>
    <row r="10" spans="1:14" x14ac:dyDescent="0.25">
      <c r="A10" s="7" t="s">
        <v>75</v>
      </c>
      <c r="B10" s="4">
        <v>73.48</v>
      </c>
      <c r="C10" s="7" t="s">
        <v>92</v>
      </c>
      <c r="D10" s="5">
        <v>156</v>
      </c>
      <c r="E10" s="5">
        <v>74</v>
      </c>
      <c r="F10" s="7">
        <v>52.631599999999999</v>
      </c>
      <c r="G10">
        <v>19.6663</v>
      </c>
      <c r="H10">
        <v>9.2446999999999999</v>
      </c>
      <c r="I10">
        <v>14.455500000000001</v>
      </c>
      <c r="J10">
        <v>3.38</v>
      </c>
      <c r="K10" s="7">
        <v>1.33</v>
      </c>
      <c r="L10" s="5">
        <v>3</v>
      </c>
      <c r="M10">
        <v>3</v>
      </c>
      <c r="N10" s="7">
        <v>0</v>
      </c>
    </row>
    <row r="11" spans="1:14" x14ac:dyDescent="0.25">
      <c r="A11" s="7" t="s">
        <v>73</v>
      </c>
      <c r="B11" s="4">
        <v>65.680000000000007</v>
      </c>
      <c r="C11" s="7" t="s">
        <v>92</v>
      </c>
      <c r="D11" s="5">
        <v>121</v>
      </c>
      <c r="E11" s="5">
        <v>74</v>
      </c>
      <c r="F11" s="7">
        <v>55.4529</v>
      </c>
      <c r="G11">
        <v>15.3962</v>
      </c>
      <c r="H11">
        <v>7.3219000000000003</v>
      </c>
      <c r="I11">
        <v>11.35905</v>
      </c>
      <c r="J11">
        <v>3.97</v>
      </c>
      <c r="K11" s="7">
        <v>1.1749999999999998</v>
      </c>
      <c r="L11" s="5">
        <v>3</v>
      </c>
      <c r="M11">
        <v>4</v>
      </c>
      <c r="N11" s="7">
        <v>0</v>
      </c>
    </row>
    <row r="12" spans="1:14" x14ac:dyDescent="0.25">
      <c r="A12" s="7" t="s">
        <v>72</v>
      </c>
      <c r="B12" s="4">
        <v>66.59</v>
      </c>
      <c r="C12" s="7" t="s">
        <v>92</v>
      </c>
      <c r="D12" s="5">
        <v>142</v>
      </c>
      <c r="E12" s="5">
        <v>85</v>
      </c>
      <c r="F12" s="7">
        <v>71.942400000000006</v>
      </c>
      <c r="G12">
        <v>13.7517</v>
      </c>
      <c r="H12">
        <v>12.2956</v>
      </c>
      <c r="I12">
        <v>13.02365</v>
      </c>
      <c r="J12">
        <v>3.77</v>
      </c>
      <c r="K12" s="7">
        <v>0.92500000000000004</v>
      </c>
      <c r="L12" s="5">
        <v>3</v>
      </c>
      <c r="M12">
        <v>3</v>
      </c>
      <c r="N12" s="7">
        <v>1</v>
      </c>
    </row>
    <row r="13" spans="1:14" x14ac:dyDescent="0.25">
      <c r="A13" s="7" t="s">
        <v>71</v>
      </c>
      <c r="B13" s="4">
        <v>68.97</v>
      </c>
      <c r="C13" s="7" t="s">
        <v>91</v>
      </c>
      <c r="D13" s="5">
        <v>113</v>
      </c>
      <c r="E13" s="5">
        <v>79</v>
      </c>
      <c r="F13" s="7">
        <v>76.726299999999995</v>
      </c>
      <c r="G13">
        <v>6.3975</v>
      </c>
      <c r="H13">
        <v>11.953799999999999</v>
      </c>
      <c r="I13">
        <v>9.1756499999999992</v>
      </c>
      <c r="J13">
        <v>3.74</v>
      </c>
      <c r="K13" s="7">
        <v>0.84499999999999997</v>
      </c>
      <c r="L13" s="5">
        <v>2</v>
      </c>
      <c r="M13">
        <v>3</v>
      </c>
      <c r="N13" s="7">
        <v>0</v>
      </c>
    </row>
    <row r="14" spans="1:14" x14ac:dyDescent="0.25">
      <c r="A14" s="7" t="s">
        <v>69</v>
      </c>
      <c r="B14" s="4">
        <v>69.73</v>
      </c>
      <c r="C14" s="7" t="s">
        <v>91</v>
      </c>
      <c r="D14" s="5">
        <v>144</v>
      </c>
      <c r="E14" s="5">
        <v>76</v>
      </c>
      <c r="F14" s="7">
        <v>68.649900000000002</v>
      </c>
      <c r="G14">
        <v>8.7239000000000004</v>
      </c>
      <c r="H14">
        <v>16.269300000000001</v>
      </c>
      <c r="I14">
        <v>12.496600000000001</v>
      </c>
      <c r="J14">
        <v>2.6799999999999997</v>
      </c>
      <c r="K14" s="7">
        <v>1.53</v>
      </c>
      <c r="L14" s="5">
        <v>3</v>
      </c>
      <c r="M14">
        <v>3</v>
      </c>
      <c r="N14" s="7">
        <v>0</v>
      </c>
    </row>
    <row r="15" spans="1:14" x14ac:dyDescent="0.25">
      <c r="A15" s="7" t="s">
        <v>68</v>
      </c>
      <c r="B15" s="4">
        <v>72.180000000000007</v>
      </c>
      <c r="C15" s="7" t="s">
        <v>92</v>
      </c>
      <c r="D15" s="5">
        <v>135</v>
      </c>
      <c r="E15" s="5">
        <v>75</v>
      </c>
      <c r="F15" s="7">
        <v>67.720100000000002</v>
      </c>
      <c r="G15">
        <v>7.3437000000000001</v>
      </c>
      <c r="H15">
        <v>20.191199999999998</v>
      </c>
      <c r="I15">
        <v>13.76745</v>
      </c>
      <c r="J15">
        <v>2.2400000000000002</v>
      </c>
      <c r="K15" s="7">
        <v>1.31</v>
      </c>
      <c r="L15" s="5">
        <v>3</v>
      </c>
      <c r="M15">
        <v>3</v>
      </c>
      <c r="N15" s="7">
        <v>0</v>
      </c>
    </row>
    <row r="16" spans="1:14" x14ac:dyDescent="0.25">
      <c r="A16" s="7" t="s">
        <v>67</v>
      </c>
      <c r="B16" s="4">
        <v>74.099999999999994</v>
      </c>
      <c r="C16" s="7" t="s">
        <v>91</v>
      </c>
      <c r="D16" s="5">
        <v>113</v>
      </c>
      <c r="E16" s="5">
        <v>75</v>
      </c>
      <c r="F16" s="7">
        <v>68.493200000000002</v>
      </c>
      <c r="G16">
        <v>21.842199999999998</v>
      </c>
      <c r="H16">
        <v>6.3334999999999999</v>
      </c>
      <c r="I16">
        <v>14.08785</v>
      </c>
      <c r="J16">
        <v>3.59</v>
      </c>
      <c r="K16" s="7">
        <v>1.05</v>
      </c>
      <c r="L16" s="5">
        <v>3</v>
      </c>
      <c r="M16">
        <v>3</v>
      </c>
      <c r="N16" s="7">
        <v>0</v>
      </c>
    </row>
    <row r="17" spans="1:14" x14ac:dyDescent="0.25">
      <c r="A17" s="7" t="s">
        <v>65</v>
      </c>
      <c r="B17" s="4">
        <v>66.41</v>
      </c>
      <c r="C17" s="7" t="s">
        <v>91</v>
      </c>
      <c r="D17" s="5">
        <v>126</v>
      </c>
      <c r="E17" s="5">
        <v>89</v>
      </c>
      <c r="F17" s="7">
        <v>53.86</v>
      </c>
      <c r="G17">
        <v>10.0364</v>
      </c>
      <c r="H17">
        <v>2.0804</v>
      </c>
      <c r="I17">
        <v>6.0583999999999998</v>
      </c>
      <c r="J17">
        <v>3.0950000000000002</v>
      </c>
      <c r="K17" s="7">
        <v>1.2</v>
      </c>
      <c r="L17" s="5">
        <v>2</v>
      </c>
      <c r="M17">
        <v>3</v>
      </c>
      <c r="N17" s="7">
        <v>0</v>
      </c>
    </row>
    <row r="18" spans="1:14" x14ac:dyDescent="0.25">
      <c r="A18" s="7" t="s">
        <v>64</v>
      </c>
      <c r="B18" s="4">
        <v>66.14</v>
      </c>
      <c r="C18" s="7" t="s">
        <v>92</v>
      </c>
      <c r="D18" s="5">
        <v>136</v>
      </c>
      <c r="E18" s="5">
        <v>84</v>
      </c>
      <c r="F18" s="7">
        <v>55.970100000000002</v>
      </c>
      <c r="G18">
        <v>11.5677</v>
      </c>
      <c r="H18">
        <v>23.549700000000001</v>
      </c>
      <c r="I18">
        <v>17.558700000000002</v>
      </c>
      <c r="J18">
        <v>3.31</v>
      </c>
      <c r="K18" s="7">
        <v>1.2200000000000002</v>
      </c>
      <c r="L18" s="5">
        <v>3</v>
      </c>
      <c r="M18">
        <v>3</v>
      </c>
      <c r="N18" s="7">
        <v>0</v>
      </c>
    </row>
    <row r="19" spans="1:14" x14ac:dyDescent="0.25">
      <c r="A19" s="7" t="s">
        <v>63</v>
      </c>
      <c r="B19" s="4">
        <v>72.16</v>
      </c>
      <c r="C19" s="7" t="s">
        <v>91</v>
      </c>
      <c r="D19" s="5">
        <v>130</v>
      </c>
      <c r="E19" s="5">
        <v>78</v>
      </c>
      <c r="F19" s="7">
        <v>70.257599999999996</v>
      </c>
      <c r="G19">
        <v>15.3314</v>
      </c>
      <c r="H19">
        <v>20.209800000000001</v>
      </c>
      <c r="I19">
        <v>17.770600000000002</v>
      </c>
      <c r="J19">
        <v>3.665</v>
      </c>
      <c r="K19" s="7">
        <v>1.1549999999999998</v>
      </c>
      <c r="L19" s="5">
        <v>2</v>
      </c>
      <c r="M19">
        <v>3</v>
      </c>
      <c r="N19" s="7">
        <v>0</v>
      </c>
    </row>
    <row r="20" spans="1:14" x14ac:dyDescent="0.25">
      <c r="A20" s="7" t="s">
        <v>62</v>
      </c>
      <c r="B20" s="4">
        <v>67.38</v>
      </c>
      <c r="C20" s="7" t="s">
        <v>91</v>
      </c>
      <c r="D20" s="5">
        <v>146</v>
      </c>
      <c r="E20" s="5">
        <v>90</v>
      </c>
      <c r="F20" s="7">
        <v>62.5</v>
      </c>
      <c r="G20">
        <v>5.6186999999999996</v>
      </c>
      <c r="H20">
        <v>6.9631999999999996</v>
      </c>
      <c r="I20">
        <v>6.2909499999999996</v>
      </c>
      <c r="J20">
        <v>4.4800000000000004</v>
      </c>
      <c r="K20" s="7">
        <v>1.2949999999999999</v>
      </c>
      <c r="L20" s="5">
        <v>3</v>
      </c>
      <c r="M20">
        <v>3</v>
      </c>
      <c r="N20" s="7">
        <v>0</v>
      </c>
    </row>
    <row r="21" spans="1:14" x14ac:dyDescent="0.25">
      <c r="A21" s="7" t="s">
        <v>61</v>
      </c>
      <c r="B21" s="4">
        <v>67.88</v>
      </c>
      <c r="C21" s="7" t="s">
        <v>92</v>
      </c>
      <c r="D21" s="5">
        <v>100</v>
      </c>
      <c r="E21" s="5">
        <v>49</v>
      </c>
      <c r="F21" s="7">
        <v>51.2821</v>
      </c>
      <c r="G21">
        <v>30.041499999999999</v>
      </c>
      <c r="H21">
        <v>8.0736000000000008</v>
      </c>
      <c r="I21">
        <v>19.057549999999999</v>
      </c>
      <c r="J21">
        <v>4.37</v>
      </c>
      <c r="K21" s="7">
        <v>0.95499999999999996</v>
      </c>
      <c r="L21" s="5">
        <v>3</v>
      </c>
      <c r="M21">
        <v>3</v>
      </c>
      <c r="N21" s="7">
        <v>0</v>
      </c>
    </row>
    <row r="22" spans="1:14" x14ac:dyDescent="0.25">
      <c r="A22" s="7" t="s">
        <v>60</v>
      </c>
      <c r="B22" s="4">
        <v>65.64</v>
      </c>
      <c r="C22" s="7" t="s">
        <v>91</v>
      </c>
      <c r="D22" s="5">
        <v>144</v>
      </c>
      <c r="E22" s="5">
        <v>79</v>
      </c>
      <c r="F22" s="7">
        <v>75.566800000000001</v>
      </c>
      <c r="G22">
        <v>42.664499999999997</v>
      </c>
      <c r="H22">
        <v>5.1475999999999997</v>
      </c>
      <c r="I22">
        <v>23.90605</v>
      </c>
      <c r="J22">
        <v>4.4800000000000004</v>
      </c>
      <c r="K22" s="7">
        <v>1.2949999999999999</v>
      </c>
      <c r="L22" s="5">
        <v>3</v>
      </c>
      <c r="M22">
        <v>3</v>
      </c>
      <c r="N22" s="7">
        <v>0</v>
      </c>
    </row>
    <row r="23" spans="1:14" x14ac:dyDescent="0.25">
      <c r="A23" s="7" t="s">
        <v>58</v>
      </c>
      <c r="B23" s="4">
        <v>78.8</v>
      </c>
      <c r="C23" s="7" t="s">
        <v>91</v>
      </c>
      <c r="D23" s="5">
        <v>121</v>
      </c>
      <c r="E23" s="5">
        <v>79</v>
      </c>
      <c r="F23" s="7">
        <v>85.714299999999994</v>
      </c>
      <c r="G23">
        <v>35.501199999999997</v>
      </c>
      <c r="H23">
        <v>14.69</v>
      </c>
      <c r="I23">
        <v>25.095600000000001</v>
      </c>
      <c r="J23">
        <v>2.41</v>
      </c>
      <c r="K23" s="7">
        <v>1.08</v>
      </c>
      <c r="L23" s="5">
        <v>3</v>
      </c>
      <c r="M23">
        <v>3</v>
      </c>
      <c r="N23" s="7">
        <v>0</v>
      </c>
    </row>
    <row r="24" spans="1:14" x14ac:dyDescent="0.25">
      <c r="A24" s="7" t="s">
        <v>57</v>
      </c>
      <c r="B24" s="4">
        <v>66.55</v>
      </c>
      <c r="C24" s="7" t="s">
        <v>91</v>
      </c>
      <c r="D24" s="5">
        <v>123</v>
      </c>
      <c r="E24" s="5">
        <v>79</v>
      </c>
      <c r="F24" s="7">
        <v>57.8035</v>
      </c>
      <c r="G24">
        <v>9.1564999999999994</v>
      </c>
      <c r="H24">
        <v>8.5279000000000007</v>
      </c>
      <c r="I24">
        <v>8.8422000000000001</v>
      </c>
      <c r="J24">
        <v>5.2349999999999994</v>
      </c>
      <c r="K24" s="7">
        <v>1</v>
      </c>
      <c r="L24" s="5">
        <v>3</v>
      </c>
      <c r="M24">
        <v>3</v>
      </c>
      <c r="N24" s="7">
        <v>0</v>
      </c>
    </row>
    <row r="25" spans="1:14" x14ac:dyDescent="0.25">
      <c r="A25" s="7" t="s">
        <v>56</v>
      </c>
      <c r="B25" s="4">
        <v>74.930000000000007</v>
      </c>
      <c r="C25" s="7" t="s">
        <v>92</v>
      </c>
      <c r="D25" s="5">
        <v>114</v>
      </c>
      <c r="E25" s="5">
        <v>71</v>
      </c>
      <c r="F25" s="7">
        <v>55.4529</v>
      </c>
      <c r="G25">
        <v>52.819600000000001</v>
      </c>
      <c r="H25">
        <v>5.9351000000000003</v>
      </c>
      <c r="I25">
        <v>29.37735</v>
      </c>
      <c r="J25">
        <v>2.6950000000000003</v>
      </c>
      <c r="K25" s="7">
        <v>1.33</v>
      </c>
      <c r="L25" s="5">
        <v>3</v>
      </c>
      <c r="M25">
        <v>3</v>
      </c>
      <c r="N25" s="7">
        <v>0</v>
      </c>
    </row>
    <row r="26" spans="1:14" x14ac:dyDescent="0.25">
      <c r="A26" s="7" t="s">
        <v>55</v>
      </c>
      <c r="B26" s="4">
        <v>79.540000000000006</v>
      </c>
      <c r="C26" s="7" t="s">
        <v>91</v>
      </c>
      <c r="D26" s="5">
        <v>107</v>
      </c>
      <c r="E26" s="5">
        <v>73</v>
      </c>
      <c r="F26" s="7">
        <v>62.240699999999997</v>
      </c>
      <c r="G26">
        <v>36.949199999999998</v>
      </c>
      <c r="H26">
        <v>24.676500000000001</v>
      </c>
      <c r="I26">
        <v>30.812850000000001</v>
      </c>
      <c r="J26">
        <v>3.0999999999999996</v>
      </c>
      <c r="K26" s="7">
        <v>1.08</v>
      </c>
      <c r="L26" s="5">
        <v>3</v>
      </c>
      <c r="M26">
        <v>3</v>
      </c>
      <c r="N26" s="7">
        <v>0</v>
      </c>
    </row>
    <row r="27" spans="1:14" x14ac:dyDescent="0.25">
      <c r="A27" s="7" t="s">
        <v>54</v>
      </c>
      <c r="B27" s="4">
        <v>86.51</v>
      </c>
      <c r="C27" s="7" t="s">
        <v>91</v>
      </c>
      <c r="D27" s="5">
        <v>105</v>
      </c>
      <c r="E27" s="5">
        <v>70</v>
      </c>
      <c r="F27" s="7">
        <v>47.169800000000002</v>
      </c>
      <c r="G27">
        <v>8.7911000000000001</v>
      </c>
      <c r="H27">
        <v>13.049300000000001</v>
      </c>
      <c r="I27">
        <v>10.920199999999999</v>
      </c>
      <c r="J27">
        <v>2.5149999999999997</v>
      </c>
      <c r="K27" s="7">
        <v>1.8249999999999997</v>
      </c>
      <c r="L27" s="5">
        <v>3</v>
      </c>
      <c r="M27">
        <v>3</v>
      </c>
      <c r="N27" s="7">
        <v>0</v>
      </c>
    </row>
    <row r="28" spans="1:14" x14ac:dyDescent="0.25">
      <c r="A28" s="7" t="s">
        <v>53</v>
      </c>
      <c r="B28" s="4">
        <v>85.1</v>
      </c>
      <c r="C28" s="7" t="s">
        <v>92</v>
      </c>
      <c r="D28" s="5">
        <v>198</v>
      </c>
      <c r="E28" s="5">
        <v>85</v>
      </c>
      <c r="F28" s="7">
        <v>63.694299999999998</v>
      </c>
      <c r="G28">
        <v>25.253799999999998</v>
      </c>
      <c r="H28">
        <v>8.3041</v>
      </c>
      <c r="I28">
        <v>16.778949999999998</v>
      </c>
      <c r="J28">
        <v>4.46</v>
      </c>
      <c r="K28" s="7">
        <v>1.1299999999999999</v>
      </c>
      <c r="L28" s="5">
        <v>2</v>
      </c>
      <c r="M28">
        <v>3</v>
      </c>
      <c r="N28" s="7">
        <v>0</v>
      </c>
    </row>
    <row r="29" spans="1:14" x14ac:dyDescent="0.25">
      <c r="A29" s="7" t="s">
        <v>52</v>
      </c>
      <c r="B29" s="4">
        <v>84.03</v>
      </c>
      <c r="C29" s="7" t="s">
        <v>92</v>
      </c>
      <c r="D29" s="5">
        <v>103</v>
      </c>
      <c r="E29" s="5">
        <v>70</v>
      </c>
      <c r="F29" s="7">
        <v>70.588200000000001</v>
      </c>
      <c r="G29">
        <v>19.180599999999998</v>
      </c>
      <c r="H29">
        <v>39.665900000000001</v>
      </c>
      <c r="I29">
        <v>29.423249999999999</v>
      </c>
      <c r="J29">
        <v>3.2250000000000001</v>
      </c>
      <c r="K29" s="7">
        <v>1.415</v>
      </c>
      <c r="L29" s="5">
        <v>3</v>
      </c>
      <c r="M29">
        <v>3</v>
      </c>
      <c r="N29" s="7">
        <v>0</v>
      </c>
    </row>
    <row r="30" spans="1:14" x14ac:dyDescent="0.25">
      <c r="A30" s="7" t="s">
        <v>50</v>
      </c>
      <c r="B30" s="4">
        <v>66.45</v>
      </c>
      <c r="C30" s="7" t="s">
        <v>91</v>
      </c>
      <c r="D30" s="5">
        <v>133</v>
      </c>
      <c r="E30" s="5">
        <v>86</v>
      </c>
      <c r="F30" s="7">
        <v>55.6586</v>
      </c>
      <c r="G30">
        <v>35.261699999999998</v>
      </c>
      <c r="H30">
        <v>6.6927000000000003</v>
      </c>
      <c r="I30">
        <v>20.9772</v>
      </c>
      <c r="J30">
        <v>3.1950000000000003</v>
      </c>
      <c r="K30" s="7">
        <v>1.03</v>
      </c>
      <c r="L30" s="5">
        <v>3</v>
      </c>
      <c r="M30">
        <v>3</v>
      </c>
      <c r="N30" s="7">
        <v>0</v>
      </c>
    </row>
    <row r="31" spans="1:14" x14ac:dyDescent="0.25">
      <c r="A31" s="7" t="s">
        <v>49</v>
      </c>
      <c r="B31" s="4">
        <v>84.88</v>
      </c>
      <c r="C31" s="7" t="s">
        <v>91</v>
      </c>
      <c r="D31" s="5">
        <v>167</v>
      </c>
      <c r="E31" s="5">
        <v>87</v>
      </c>
      <c r="F31" s="7">
        <v>57.915100000000002</v>
      </c>
      <c r="G31" s="1">
        <v>16.116099999999999</v>
      </c>
      <c r="H31">
        <v>25.512899999999998</v>
      </c>
      <c r="I31">
        <v>20.814499999999999</v>
      </c>
      <c r="J31">
        <v>3.36</v>
      </c>
      <c r="K31" s="7">
        <v>1.2349999999999999</v>
      </c>
      <c r="L31" s="5">
        <v>3</v>
      </c>
      <c r="M31">
        <v>3</v>
      </c>
      <c r="N31" s="7">
        <v>0</v>
      </c>
    </row>
    <row r="32" spans="1:14" x14ac:dyDescent="0.25">
      <c r="A32" s="7" t="s">
        <v>47</v>
      </c>
      <c r="B32" s="4">
        <v>81.56</v>
      </c>
      <c r="C32" s="7" t="s">
        <v>92</v>
      </c>
      <c r="D32" s="5">
        <v>130</v>
      </c>
      <c r="E32" s="5">
        <v>92</v>
      </c>
      <c r="F32" s="7">
        <v>68.181799999999996</v>
      </c>
      <c r="G32">
        <v>26.2654</v>
      </c>
      <c r="H32">
        <v>12.7989</v>
      </c>
      <c r="I32">
        <v>19.532150000000001</v>
      </c>
      <c r="J32">
        <v>3.7199999999999998</v>
      </c>
      <c r="K32" s="7">
        <v>1.25</v>
      </c>
      <c r="L32" s="5">
        <v>2</v>
      </c>
      <c r="M32">
        <v>3</v>
      </c>
      <c r="N32" s="7">
        <v>0</v>
      </c>
    </row>
    <row r="33" spans="1:14" x14ac:dyDescent="0.25">
      <c r="A33" s="7" t="s">
        <v>46</v>
      </c>
      <c r="B33" s="4">
        <v>81.34</v>
      </c>
      <c r="C33" s="7" t="s">
        <v>92</v>
      </c>
      <c r="D33" s="5">
        <v>125</v>
      </c>
      <c r="E33" s="5">
        <v>80</v>
      </c>
      <c r="F33" s="7">
        <v>73.891599999999997</v>
      </c>
      <c r="G33">
        <v>41.1813</v>
      </c>
      <c r="H33">
        <v>37.979199999999999</v>
      </c>
      <c r="I33">
        <v>39.580249999999999</v>
      </c>
      <c r="J33">
        <v>4.0199999999999996</v>
      </c>
      <c r="K33" s="7">
        <v>1.1599999999999999</v>
      </c>
      <c r="L33" s="5">
        <v>3</v>
      </c>
      <c r="M33">
        <v>3</v>
      </c>
      <c r="N33" s="7">
        <v>0</v>
      </c>
    </row>
    <row r="34" spans="1:14" x14ac:dyDescent="0.25">
      <c r="A34" s="7" t="s">
        <v>45</v>
      </c>
      <c r="B34" s="4">
        <v>90.37</v>
      </c>
      <c r="C34" s="7" t="s">
        <v>92</v>
      </c>
      <c r="D34" s="5">
        <v>124</v>
      </c>
      <c r="E34" s="5">
        <v>75</v>
      </c>
      <c r="F34" s="7">
        <v>64.377700000000004</v>
      </c>
      <c r="G34">
        <v>64.666899999999998</v>
      </c>
      <c r="H34">
        <v>15.536</v>
      </c>
      <c r="I34">
        <v>40.10145</v>
      </c>
      <c r="J34">
        <v>2.645</v>
      </c>
      <c r="K34" s="7">
        <v>1.67</v>
      </c>
      <c r="L34" s="5">
        <v>3</v>
      </c>
      <c r="M34">
        <v>3</v>
      </c>
      <c r="N34" s="7">
        <v>0</v>
      </c>
    </row>
    <row r="35" spans="1:14" x14ac:dyDescent="0.25">
      <c r="A35" s="7" t="s">
        <v>44</v>
      </c>
      <c r="B35" s="4">
        <v>74.900000000000006</v>
      </c>
      <c r="C35" s="7" t="s">
        <v>92</v>
      </c>
      <c r="D35" s="5">
        <v>149</v>
      </c>
      <c r="E35" s="5">
        <v>90</v>
      </c>
      <c r="F35" s="7">
        <v>50.933799999999998</v>
      </c>
      <c r="G35">
        <v>17.599499999999999</v>
      </c>
      <c r="H35">
        <v>17.933700000000002</v>
      </c>
      <c r="I35">
        <v>17.7666</v>
      </c>
      <c r="J35">
        <v>3.0649999999999999</v>
      </c>
      <c r="K35" s="7">
        <v>1.1400000000000001</v>
      </c>
      <c r="L35" s="5">
        <v>3</v>
      </c>
      <c r="M35">
        <v>3</v>
      </c>
      <c r="N35" s="7">
        <v>0</v>
      </c>
    </row>
    <row r="36" spans="1:14" x14ac:dyDescent="0.25">
      <c r="A36" s="7" t="s">
        <v>48</v>
      </c>
      <c r="B36">
        <v>80.02</v>
      </c>
      <c r="C36" s="7" t="s">
        <v>92</v>
      </c>
      <c r="D36" s="5">
        <v>133</v>
      </c>
      <c r="E36" s="5">
        <v>58</v>
      </c>
      <c r="F36" s="7">
        <v>54.644799999999996</v>
      </c>
      <c r="G36" s="1">
        <v>30.242699999999999</v>
      </c>
      <c r="H36">
        <v>10.739000000000001</v>
      </c>
      <c r="I36">
        <v>20.490849999999998</v>
      </c>
      <c r="J36">
        <v>3.3600000000000003</v>
      </c>
      <c r="K36" s="7">
        <v>1.4849999999999999</v>
      </c>
      <c r="L36" s="5">
        <v>3</v>
      </c>
      <c r="M36">
        <v>3</v>
      </c>
      <c r="N36" s="7">
        <v>0</v>
      </c>
    </row>
    <row r="37" spans="1:14" x14ac:dyDescent="0.25">
      <c r="A37" s="7" t="s">
        <v>51</v>
      </c>
      <c r="B37">
        <v>69.75</v>
      </c>
      <c r="C37" s="7" t="s">
        <v>92</v>
      </c>
      <c r="D37" s="5">
        <v>115</v>
      </c>
      <c r="E37" s="5">
        <v>83</v>
      </c>
      <c r="F37" s="7">
        <v>40.705599999999997</v>
      </c>
      <c r="G37">
        <v>5.181</v>
      </c>
      <c r="H37">
        <v>5.6830999999999996</v>
      </c>
      <c r="I37">
        <v>5.4320500000000003</v>
      </c>
      <c r="J37">
        <v>2.605</v>
      </c>
      <c r="K37" s="7">
        <v>1.44</v>
      </c>
      <c r="L37" s="5">
        <v>3</v>
      </c>
      <c r="M37">
        <v>3</v>
      </c>
      <c r="N37" s="7">
        <v>0</v>
      </c>
    </row>
    <row r="38" spans="1:14" x14ac:dyDescent="0.25">
      <c r="A38" s="10" t="s">
        <v>84</v>
      </c>
      <c r="B38">
        <v>80.88</v>
      </c>
      <c r="C38" s="7" t="s">
        <v>92</v>
      </c>
      <c r="D38" s="5">
        <v>172</v>
      </c>
      <c r="E38" s="5">
        <v>83</v>
      </c>
      <c r="F38" s="7">
        <v>57.8035</v>
      </c>
      <c r="G38">
        <v>48.087299999999999</v>
      </c>
      <c r="H38">
        <v>15.6289</v>
      </c>
      <c r="I38">
        <v>31.8581</v>
      </c>
      <c r="J38">
        <v>3.1749999999999998</v>
      </c>
      <c r="K38" s="7">
        <v>1.4750000000000001</v>
      </c>
      <c r="L38" s="5">
        <v>3</v>
      </c>
      <c r="M38">
        <v>3</v>
      </c>
      <c r="N38" s="7">
        <v>0</v>
      </c>
    </row>
    <row r="39" spans="1:14" x14ac:dyDescent="0.25">
      <c r="A39" s="7" t="s">
        <v>59</v>
      </c>
      <c r="B39">
        <v>68.08</v>
      </c>
      <c r="C39" s="7" t="s">
        <v>91</v>
      </c>
      <c r="D39" s="5">
        <v>100</v>
      </c>
      <c r="E39" s="5">
        <v>60</v>
      </c>
      <c r="F39" s="7">
        <v>49.180300000000003</v>
      </c>
      <c r="G39">
        <v>32.415100000000002</v>
      </c>
      <c r="H39">
        <v>16.4726</v>
      </c>
      <c r="I39">
        <v>24.443850000000001</v>
      </c>
      <c r="J39">
        <v>3.9550000000000001</v>
      </c>
      <c r="K39" s="7">
        <v>1.03</v>
      </c>
      <c r="L39" s="5">
        <v>2</v>
      </c>
      <c r="M39">
        <v>3</v>
      </c>
      <c r="N39" s="7">
        <v>0</v>
      </c>
    </row>
    <row r="40" spans="1:14" x14ac:dyDescent="0.25">
      <c r="A40" s="7" t="s">
        <v>66</v>
      </c>
      <c r="B40">
        <v>69.39</v>
      </c>
      <c r="C40" s="7" t="s">
        <v>92</v>
      </c>
      <c r="D40" s="5">
        <v>113</v>
      </c>
      <c r="E40" s="5">
        <v>76</v>
      </c>
      <c r="F40" s="7">
        <v>63.157899999999998</v>
      </c>
      <c r="G40">
        <v>3.3708999999999998</v>
      </c>
      <c r="H40">
        <v>7.8113999999999999</v>
      </c>
      <c r="I40">
        <v>5.5911499999999998</v>
      </c>
      <c r="J40">
        <v>3.55</v>
      </c>
      <c r="K40" s="7">
        <v>0.87000000000000011</v>
      </c>
      <c r="L40" s="5">
        <v>3</v>
      </c>
      <c r="M40">
        <v>3</v>
      </c>
      <c r="N40" s="7">
        <v>0</v>
      </c>
    </row>
    <row r="41" spans="1:14" x14ac:dyDescent="0.25">
      <c r="A41" s="7" t="s">
        <v>70</v>
      </c>
      <c r="B41">
        <v>68.16</v>
      </c>
      <c r="C41" s="7" t="s">
        <v>92</v>
      </c>
      <c r="D41" s="5">
        <v>154</v>
      </c>
      <c r="E41" s="5">
        <v>90</v>
      </c>
      <c r="F41" s="7">
        <v>63.965899999999998</v>
      </c>
      <c r="G41">
        <v>7.9787999999999997</v>
      </c>
      <c r="H41">
        <v>8.0017999999999994</v>
      </c>
      <c r="I41">
        <v>7.9903000000000004</v>
      </c>
      <c r="J41">
        <v>3.2949999999999999</v>
      </c>
      <c r="K41" s="7"/>
      <c r="L41" s="5">
        <v>3</v>
      </c>
      <c r="M41">
        <v>3</v>
      </c>
      <c r="N41" s="7">
        <v>0</v>
      </c>
    </row>
    <row r="42" spans="1:14" x14ac:dyDescent="0.25">
      <c r="A42" s="8" t="s">
        <v>74</v>
      </c>
      <c r="B42" s="6">
        <v>77.94</v>
      </c>
      <c r="C42" s="8" t="s">
        <v>92</v>
      </c>
      <c r="D42" s="6">
        <v>169</v>
      </c>
      <c r="E42" s="6">
        <v>77</v>
      </c>
      <c r="F42" s="8">
        <v>63.424900000000001</v>
      </c>
      <c r="G42" s="6">
        <v>31.006900000000002</v>
      </c>
      <c r="H42" s="6">
        <v>24.359300000000001</v>
      </c>
      <c r="I42" s="6">
        <v>27.6831</v>
      </c>
      <c r="J42" s="6">
        <v>3.3050000000000002</v>
      </c>
      <c r="K42" s="8">
        <v>1.53</v>
      </c>
      <c r="L42" s="6">
        <v>2</v>
      </c>
      <c r="M42" s="6">
        <v>3</v>
      </c>
      <c r="N42" s="8">
        <v>0</v>
      </c>
    </row>
    <row r="44" spans="1:14" x14ac:dyDescent="0.25">
      <c r="A44" s="11" t="str">
        <f>"# SUBJECTS= " &amp; COUNTA(A2:A42)</f>
        <v># SUBJECTS= 41</v>
      </c>
      <c r="C44" s="12" t="s">
        <v>107</v>
      </c>
    </row>
    <row r="45" spans="1:14" x14ac:dyDescent="0.25">
      <c r="A45" s="5" t="s">
        <v>115</v>
      </c>
      <c r="B45" s="9">
        <f>AVERAGE(B2:B42)</f>
        <v>73.529512195121953</v>
      </c>
      <c r="C45" s="15">
        <f>COUNTIF(C2:C42,"Female")</f>
        <v>23</v>
      </c>
      <c r="D45" s="9">
        <f t="shared" ref="D45:K45" si="0">AVERAGE(D2:D42)</f>
        <v>132.39024390243901</v>
      </c>
      <c r="E45" s="9">
        <f t="shared" si="0"/>
        <v>77.634146341463421</v>
      </c>
      <c r="F45" s="9">
        <f t="shared" si="0"/>
        <v>61.584546341463408</v>
      </c>
      <c r="G45" s="9">
        <f t="shared" si="0"/>
        <v>20.732926829268294</v>
      </c>
      <c r="H45" s="9">
        <f t="shared" si="0"/>
        <v>14.339607317073174</v>
      </c>
      <c r="I45" s="9">
        <f t="shared" si="0"/>
        <v>17.536267073170734</v>
      </c>
      <c r="J45" s="9">
        <f t="shared" si="0"/>
        <v>3.4573170731707319</v>
      </c>
      <c r="K45" s="9">
        <f t="shared" si="0"/>
        <v>1.25125</v>
      </c>
      <c r="N45" s="15">
        <f>COUNTIF(N2:N42,0)</f>
        <v>40</v>
      </c>
    </row>
    <row r="46" spans="1:14" x14ac:dyDescent="0.25">
      <c r="A46" s="5" t="s">
        <v>116</v>
      </c>
      <c r="B46" s="9">
        <f>_xlfn.STDEV.S(B2:B42)</f>
        <v>6.7539973168559637</v>
      </c>
      <c r="C46" s="15">
        <f>COUNTIF(C3:C43,"Male")</f>
        <v>18</v>
      </c>
      <c r="D46" s="9">
        <f t="shared" ref="D46:K46" si="1">_xlfn.STDEV.S(D2:D42)</f>
        <v>21.869931468548877</v>
      </c>
      <c r="E46" s="9">
        <f t="shared" si="1"/>
        <v>9.0464249777494459</v>
      </c>
      <c r="F46" s="9">
        <f t="shared" si="1"/>
        <v>9.2339053816113648</v>
      </c>
      <c r="G46" s="9">
        <f t="shared" si="1"/>
        <v>15.250609103803439</v>
      </c>
      <c r="H46" s="9">
        <f t="shared" si="1"/>
        <v>9.1501768037942846</v>
      </c>
      <c r="I46" s="9">
        <f t="shared" si="1"/>
        <v>9.1725102737787196</v>
      </c>
      <c r="J46" s="9">
        <f t="shared" si="1"/>
        <v>0.662437824970177</v>
      </c>
      <c r="K46" s="9">
        <f t="shared" si="1"/>
        <v>0.22713587371484295</v>
      </c>
      <c r="N46" s="15">
        <f>COUNTIF(N2:N42,1)</f>
        <v>1</v>
      </c>
    </row>
    <row r="47" spans="1:14" x14ac:dyDescent="0.25">
      <c r="A47" s="5" t="s">
        <v>117</v>
      </c>
      <c r="B47" s="5">
        <f>MAX(B2:B42)</f>
        <v>90.37</v>
      </c>
      <c r="C47" s="15">
        <f>SUM(C45:C46)</f>
        <v>41</v>
      </c>
      <c r="D47" s="5">
        <f t="shared" ref="D47:K47" si="2">MAX(D2:D42)</f>
        <v>198</v>
      </c>
      <c r="E47" s="5">
        <f t="shared" si="2"/>
        <v>92</v>
      </c>
      <c r="F47" s="9">
        <f t="shared" si="2"/>
        <v>85.714299999999994</v>
      </c>
      <c r="G47" s="9">
        <f t="shared" si="2"/>
        <v>64.666899999999998</v>
      </c>
      <c r="H47" s="9">
        <f t="shared" si="2"/>
        <v>39.665900000000001</v>
      </c>
      <c r="I47" s="9">
        <f t="shared" si="2"/>
        <v>40.10145</v>
      </c>
      <c r="J47" s="9">
        <f t="shared" si="2"/>
        <v>5.2349999999999994</v>
      </c>
      <c r="K47" s="9">
        <f t="shared" si="2"/>
        <v>1.8249999999999997</v>
      </c>
      <c r="N47" s="15">
        <f>SUM(N45:N46)</f>
        <v>41</v>
      </c>
    </row>
    <row r="48" spans="1:14" x14ac:dyDescent="0.25">
      <c r="A48" s="5" t="s">
        <v>118</v>
      </c>
      <c r="B48" s="5">
        <f>MIN(B2:B42)</f>
        <v>65.64</v>
      </c>
      <c r="C48" s="18">
        <f>C45/(C45+C46)*100</f>
        <v>56.09756097560976</v>
      </c>
      <c r="D48" s="5">
        <f t="shared" ref="D48:K48" si="3">MIN(D2:D42)</f>
        <v>100</v>
      </c>
      <c r="E48" s="5">
        <f t="shared" si="3"/>
        <v>49</v>
      </c>
      <c r="F48" s="9">
        <f t="shared" si="3"/>
        <v>40.705599999999997</v>
      </c>
      <c r="G48" s="9">
        <f t="shared" si="3"/>
        <v>3.3708999999999998</v>
      </c>
      <c r="H48" s="9">
        <f t="shared" si="3"/>
        <v>2.0804</v>
      </c>
      <c r="I48" s="9">
        <f t="shared" si="3"/>
        <v>5.4320500000000003</v>
      </c>
      <c r="J48" s="9">
        <f t="shared" si="3"/>
        <v>2.2149999999999999</v>
      </c>
      <c r="K48" s="9">
        <f t="shared" si="3"/>
        <v>0.84499999999999997</v>
      </c>
      <c r="N48" s="18">
        <f>N46/N47*100</f>
        <v>2.4390243902439024</v>
      </c>
    </row>
    <row r="50" spans="1:13" x14ac:dyDescent="0.25">
      <c r="A50" s="15" t="s">
        <v>106</v>
      </c>
      <c r="K50" s="30" t="s">
        <v>110</v>
      </c>
      <c r="L50" s="30">
        <v>0</v>
      </c>
    </row>
    <row r="51" spans="1:13" x14ac:dyDescent="0.25">
      <c r="K51" s="30" t="s">
        <v>111</v>
      </c>
      <c r="L51" s="30">
        <v>7</v>
      </c>
    </row>
    <row r="52" spans="1:13" x14ac:dyDescent="0.25">
      <c r="K52" s="30" t="s">
        <v>112</v>
      </c>
      <c r="L52" s="30">
        <v>33</v>
      </c>
      <c r="M52" s="27"/>
    </row>
    <row r="53" spans="1:13" x14ac:dyDescent="0.25">
      <c r="K53" s="29" t="s">
        <v>113</v>
      </c>
      <c r="L53" s="29">
        <v>1</v>
      </c>
    </row>
    <row r="54" spans="1:13" x14ac:dyDescent="0.25">
      <c r="K54" s="29" t="s">
        <v>114</v>
      </c>
      <c r="L54" s="29">
        <v>0</v>
      </c>
    </row>
    <row r="56" spans="1:13" x14ac:dyDescent="0.25">
      <c r="K56" s="15"/>
      <c r="L56" s="14"/>
      <c r="M56" s="20"/>
    </row>
  </sheetData>
  <sortState xmlns:xlrd2="http://schemas.microsoft.com/office/spreadsheetml/2017/richdata2" ref="A2:J44">
    <sortCondition descending="1" ref="A1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6FBD0-83FD-4A86-B3D2-BDDF932143AB}">
  <dimension ref="A1:N76"/>
  <sheetViews>
    <sheetView topLeftCell="A46" workbookViewId="0">
      <selection activeCell="G73" sqref="G73"/>
    </sheetView>
  </sheetViews>
  <sheetFormatPr defaultRowHeight="15" x14ac:dyDescent="0.25"/>
  <cols>
    <col min="1" max="1" width="16.42578125" customWidth="1"/>
    <col min="3" max="3" width="12.42578125" customWidth="1"/>
    <col min="7" max="7" width="11.42578125" customWidth="1"/>
    <col min="8" max="8" width="10.85546875" customWidth="1"/>
    <col min="9" max="9" width="10.7109375" customWidth="1"/>
    <col min="10" max="10" width="16.85546875" customWidth="1"/>
    <col min="11" max="11" width="14.5703125" customWidth="1"/>
    <col min="14" max="14" width="16" customWidth="1"/>
  </cols>
  <sheetData>
    <row r="1" spans="1:14" x14ac:dyDescent="0.25">
      <c r="A1" s="8" t="s">
        <v>20</v>
      </c>
      <c r="B1" s="6" t="s">
        <v>85</v>
      </c>
      <c r="C1" s="8" t="s">
        <v>90</v>
      </c>
      <c r="D1" s="6" t="s">
        <v>88</v>
      </c>
      <c r="E1" s="6" t="s">
        <v>89</v>
      </c>
      <c r="F1" s="8" t="s">
        <v>95</v>
      </c>
      <c r="G1" s="6" t="s">
        <v>21</v>
      </c>
      <c r="H1" s="6" t="s">
        <v>22</v>
      </c>
      <c r="I1" s="6" t="s">
        <v>23</v>
      </c>
      <c r="J1" s="6" t="s">
        <v>86</v>
      </c>
      <c r="K1" s="8" t="s">
        <v>87</v>
      </c>
      <c r="L1" s="6" t="s">
        <v>93</v>
      </c>
      <c r="M1" s="6" t="s">
        <v>94</v>
      </c>
      <c r="N1" s="8" t="s">
        <v>96</v>
      </c>
    </row>
    <row r="2" spans="1:14" x14ac:dyDescent="0.25">
      <c r="A2" s="7" t="s">
        <v>0</v>
      </c>
      <c r="B2" s="5">
        <v>87.97</v>
      </c>
      <c r="C2" s="7" t="s">
        <v>91</v>
      </c>
      <c r="D2" s="5">
        <v>146</v>
      </c>
      <c r="E2" s="5">
        <v>80</v>
      </c>
      <c r="F2" s="7">
        <v>63.5593</v>
      </c>
      <c r="G2" s="5">
        <v>22.7851</v>
      </c>
      <c r="H2" s="5">
        <v>24.170100000000001</v>
      </c>
      <c r="I2" s="5">
        <v>23.477599999999999</v>
      </c>
      <c r="J2" s="5">
        <v>3.29</v>
      </c>
      <c r="K2" s="7">
        <v>1.385</v>
      </c>
      <c r="L2" s="5">
        <v>3</v>
      </c>
      <c r="M2" s="5">
        <v>3</v>
      </c>
      <c r="N2" s="7">
        <v>0</v>
      </c>
    </row>
    <row r="3" spans="1:14" x14ac:dyDescent="0.25">
      <c r="A3" s="7" t="s">
        <v>1</v>
      </c>
      <c r="B3" s="5">
        <v>72.510000000000005</v>
      </c>
      <c r="C3" s="7" t="s">
        <v>92</v>
      </c>
      <c r="D3" s="5">
        <v>150</v>
      </c>
      <c r="E3" s="5">
        <v>80</v>
      </c>
      <c r="F3" s="7">
        <v>92.879300000000001</v>
      </c>
      <c r="G3" s="5">
        <v>42.6706</v>
      </c>
      <c r="H3" s="5">
        <v>61.820700000000002</v>
      </c>
      <c r="I3" s="5">
        <v>52.245649999999998</v>
      </c>
      <c r="J3" s="5">
        <v>2.4550000000000001</v>
      </c>
      <c r="K3" s="7">
        <v>1.335</v>
      </c>
      <c r="L3" s="5">
        <v>3</v>
      </c>
      <c r="M3" s="5">
        <v>4</v>
      </c>
      <c r="N3" s="7">
        <v>1</v>
      </c>
    </row>
    <row r="4" spans="1:14" x14ac:dyDescent="0.25">
      <c r="A4" s="7" t="s">
        <v>2</v>
      </c>
      <c r="B4" s="5">
        <v>69.89</v>
      </c>
      <c r="C4" s="7" t="s">
        <v>91</v>
      </c>
      <c r="D4" s="5">
        <v>143</v>
      </c>
      <c r="E4" s="5">
        <v>78</v>
      </c>
      <c r="F4" s="7">
        <v>60.362200000000001</v>
      </c>
      <c r="G4" s="5">
        <v>42.900500000000001</v>
      </c>
      <c r="H4" s="5">
        <v>10.424099999999999</v>
      </c>
      <c r="I4" s="5">
        <v>26.662299999999998</v>
      </c>
      <c r="J4" s="5">
        <v>3.2050000000000001</v>
      </c>
      <c r="K4" s="7">
        <v>1.27</v>
      </c>
      <c r="L4" s="5">
        <v>2</v>
      </c>
      <c r="M4" s="5">
        <v>3</v>
      </c>
      <c r="N4" s="7">
        <v>0</v>
      </c>
    </row>
    <row r="5" spans="1:14" x14ac:dyDescent="0.25">
      <c r="A5" s="7" t="s">
        <v>3</v>
      </c>
      <c r="B5" s="5">
        <v>73.790000000000006</v>
      </c>
      <c r="C5" s="7" t="s">
        <v>92</v>
      </c>
      <c r="D5" s="5">
        <v>135</v>
      </c>
      <c r="E5" s="5">
        <v>74</v>
      </c>
      <c r="F5" s="7">
        <v>58.139499999999998</v>
      </c>
      <c r="G5" s="5">
        <v>21.241399999999999</v>
      </c>
      <c r="H5" s="5">
        <v>14.238799999999999</v>
      </c>
      <c r="I5" s="5">
        <v>17.740100000000002</v>
      </c>
      <c r="J5" s="5">
        <v>3.395</v>
      </c>
      <c r="K5" s="7">
        <v>1.4350000000000001</v>
      </c>
      <c r="L5" s="5">
        <v>3</v>
      </c>
      <c r="M5" s="5">
        <v>4</v>
      </c>
      <c r="N5" s="7">
        <v>0</v>
      </c>
    </row>
    <row r="6" spans="1:14" x14ac:dyDescent="0.25">
      <c r="A6" s="7" t="s">
        <v>4</v>
      </c>
      <c r="B6" s="5">
        <v>69.59</v>
      </c>
      <c r="C6" s="7" t="s">
        <v>91</v>
      </c>
      <c r="D6" s="5">
        <v>115</v>
      </c>
      <c r="E6" s="5">
        <v>74</v>
      </c>
      <c r="F6" s="7">
        <v>55.248600000000003</v>
      </c>
      <c r="G6" s="5">
        <v>23.508099999999999</v>
      </c>
      <c r="H6" s="5">
        <v>12.071999999999999</v>
      </c>
      <c r="I6" s="5">
        <v>17.790050000000001</v>
      </c>
      <c r="J6" s="5">
        <v>2.4000000000000004</v>
      </c>
      <c r="K6" s="7">
        <v>1.25</v>
      </c>
      <c r="L6" s="5">
        <v>3</v>
      </c>
      <c r="M6" s="5">
        <v>4</v>
      </c>
      <c r="N6" s="7">
        <v>0</v>
      </c>
    </row>
    <row r="7" spans="1:14" x14ac:dyDescent="0.25">
      <c r="A7" s="7" t="s">
        <v>5</v>
      </c>
      <c r="B7" s="5">
        <v>69.97</v>
      </c>
      <c r="C7" s="7" t="s">
        <v>92</v>
      </c>
      <c r="D7" s="5">
        <v>131</v>
      </c>
      <c r="E7" s="5">
        <v>81</v>
      </c>
      <c r="F7" s="7">
        <v>56.497199999999999</v>
      </c>
      <c r="G7" s="5">
        <v>24.686699999999998</v>
      </c>
      <c r="H7" s="5">
        <v>28.152799999999999</v>
      </c>
      <c r="I7" s="5">
        <v>26.419750000000001</v>
      </c>
      <c r="J7" s="5">
        <v>3.085</v>
      </c>
      <c r="K7" s="7">
        <v>1.1749999999999998</v>
      </c>
      <c r="L7" s="5">
        <v>4</v>
      </c>
      <c r="M7" s="5">
        <v>4</v>
      </c>
      <c r="N7" s="7">
        <v>1</v>
      </c>
    </row>
    <row r="8" spans="1:14" x14ac:dyDescent="0.25">
      <c r="A8" s="7" t="s">
        <v>6</v>
      </c>
      <c r="B8" s="5">
        <v>71.55</v>
      </c>
      <c r="C8" s="7" t="s">
        <v>92</v>
      </c>
      <c r="D8" s="5">
        <v>116</v>
      </c>
      <c r="E8" s="5">
        <v>74</v>
      </c>
      <c r="F8" s="7">
        <v>56.710799999999999</v>
      </c>
      <c r="G8" s="5">
        <v>31.1677</v>
      </c>
      <c r="H8" s="5">
        <v>40.292499999999997</v>
      </c>
      <c r="I8" s="5">
        <v>35.7301</v>
      </c>
      <c r="J8" s="5">
        <v>2.85</v>
      </c>
      <c r="K8" s="7">
        <v>1.415</v>
      </c>
      <c r="L8" s="5">
        <v>3</v>
      </c>
      <c r="M8" s="5">
        <v>4</v>
      </c>
      <c r="N8" s="7">
        <v>1</v>
      </c>
    </row>
    <row r="9" spans="1:14" x14ac:dyDescent="0.25">
      <c r="A9" s="7" t="s">
        <v>7</v>
      </c>
      <c r="B9" s="5">
        <v>83.97</v>
      </c>
      <c r="C9" s="7" t="s">
        <v>92</v>
      </c>
      <c r="D9" s="5">
        <v>158</v>
      </c>
      <c r="E9" s="5">
        <v>71</v>
      </c>
      <c r="F9" s="7">
        <v>66.079300000000003</v>
      </c>
      <c r="G9" s="5">
        <v>33.996099999999998</v>
      </c>
      <c r="H9" s="5">
        <v>14.5291</v>
      </c>
      <c r="I9" s="5">
        <v>24.262599999999999</v>
      </c>
      <c r="J9" s="5">
        <v>4.43</v>
      </c>
      <c r="K9" s="7">
        <v>1.8149999999999999</v>
      </c>
      <c r="L9" s="5"/>
      <c r="M9" s="5"/>
      <c r="N9" s="7">
        <v>1</v>
      </c>
    </row>
    <row r="10" spans="1:14" x14ac:dyDescent="0.25">
      <c r="A10" s="7" t="s">
        <v>8</v>
      </c>
      <c r="B10" s="5">
        <v>60.7</v>
      </c>
      <c r="C10" s="7" t="s">
        <v>92</v>
      </c>
      <c r="D10" s="5">
        <v>106</v>
      </c>
      <c r="E10" s="5">
        <v>69</v>
      </c>
      <c r="F10" s="7">
        <v>46.082900000000002</v>
      </c>
      <c r="G10" s="5">
        <v>20.796399999999998</v>
      </c>
      <c r="H10" s="5">
        <v>20.411899999999999</v>
      </c>
      <c r="I10" s="5">
        <v>20.604150000000001</v>
      </c>
      <c r="J10" s="5">
        <v>3.6150000000000002</v>
      </c>
      <c r="K10" s="7">
        <v>0.93500000000000005</v>
      </c>
      <c r="L10" s="5">
        <v>3</v>
      </c>
      <c r="M10" s="5">
        <v>3</v>
      </c>
      <c r="N10" s="7">
        <v>0</v>
      </c>
    </row>
    <row r="11" spans="1:14" x14ac:dyDescent="0.25">
      <c r="A11" s="7" t="s">
        <v>9</v>
      </c>
      <c r="B11" s="5">
        <v>75.319999999999993</v>
      </c>
      <c r="C11" s="7" t="s">
        <v>92</v>
      </c>
      <c r="D11" s="5">
        <v>148</v>
      </c>
      <c r="E11" s="5">
        <v>76</v>
      </c>
      <c r="F11" s="7">
        <v>71.258899999999997</v>
      </c>
      <c r="G11" s="5"/>
      <c r="H11" s="5">
        <v>25.799199999999999</v>
      </c>
      <c r="I11" s="5">
        <v>25.799199999999999</v>
      </c>
      <c r="J11" s="5">
        <v>3.13</v>
      </c>
      <c r="K11" s="7">
        <v>1.01</v>
      </c>
      <c r="L11" s="5">
        <v>3</v>
      </c>
      <c r="M11" s="5">
        <v>4</v>
      </c>
      <c r="N11" s="7">
        <v>1</v>
      </c>
    </row>
    <row r="12" spans="1:14" x14ac:dyDescent="0.25">
      <c r="A12" s="7" t="s">
        <v>10</v>
      </c>
      <c r="B12" s="5">
        <v>79.81</v>
      </c>
      <c r="C12" s="7" t="s">
        <v>91</v>
      </c>
      <c r="D12" s="5">
        <v>163</v>
      </c>
      <c r="E12" s="5">
        <v>75</v>
      </c>
      <c r="F12" s="7">
        <v>58.823500000000003</v>
      </c>
      <c r="G12" s="5">
        <v>47.892899999999997</v>
      </c>
      <c r="H12" s="5">
        <v>27.565200000000001</v>
      </c>
      <c r="I12" s="5">
        <v>37.729050000000001</v>
      </c>
      <c r="J12" s="5">
        <v>3.08</v>
      </c>
      <c r="K12" s="7">
        <v>1.54</v>
      </c>
      <c r="L12" s="5">
        <v>3</v>
      </c>
      <c r="M12" s="5">
        <v>3</v>
      </c>
      <c r="N12" s="7">
        <v>0</v>
      </c>
    </row>
    <row r="13" spans="1:14" x14ac:dyDescent="0.25">
      <c r="A13" s="7" t="s">
        <v>11</v>
      </c>
      <c r="B13" s="5">
        <v>78.37</v>
      </c>
      <c r="C13" s="7" t="s">
        <v>92</v>
      </c>
      <c r="D13" s="5">
        <v>125</v>
      </c>
      <c r="E13" s="5">
        <v>84</v>
      </c>
      <c r="F13" s="7">
        <v>58.939100000000003</v>
      </c>
      <c r="G13" s="5">
        <v>40.672800000000002</v>
      </c>
      <c r="H13" s="5">
        <v>18.9284</v>
      </c>
      <c r="I13" s="5">
        <v>29.800599999999999</v>
      </c>
      <c r="J13" s="5">
        <v>2.4900000000000002</v>
      </c>
      <c r="K13" s="7">
        <v>1.28</v>
      </c>
      <c r="L13" s="5"/>
      <c r="M13" s="5"/>
      <c r="N13" s="7">
        <v>0</v>
      </c>
    </row>
    <row r="14" spans="1:14" x14ac:dyDescent="0.25">
      <c r="A14" s="7" t="s">
        <v>12</v>
      </c>
      <c r="B14" s="5">
        <v>66.95</v>
      </c>
      <c r="C14" s="7" t="s">
        <v>91</v>
      </c>
      <c r="D14" s="5">
        <v>132</v>
      </c>
      <c r="E14" s="5">
        <v>81</v>
      </c>
      <c r="F14" s="7">
        <v>61.601599999999998</v>
      </c>
      <c r="G14" s="5">
        <v>53.265900000000002</v>
      </c>
      <c r="H14" s="5">
        <v>39.741500000000002</v>
      </c>
      <c r="I14" s="5">
        <v>46.503700000000002</v>
      </c>
      <c r="J14" s="5">
        <v>2.11</v>
      </c>
      <c r="K14" s="7">
        <v>1.43</v>
      </c>
      <c r="L14" s="5">
        <v>3</v>
      </c>
      <c r="M14" s="5">
        <v>3</v>
      </c>
      <c r="N14" s="7">
        <v>1</v>
      </c>
    </row>
    <row r="15" spans="1:14" x14ac:dyDescent="0.25">
      <c r="A15" s="7" t="s">
        <v>13</v>
      </c>
      <c r="B15" s="5">
        <v>68.400000000000006</v>
      </c>
      <c r="C15" s="7" t="s">
        <v>92</v>
      </c>
      <c r="D15" s="5">
        <v>128</v>
      </c>
      <c r="E15" s="5">
        <v>83</v>
      </c>
      <c r="F15" s="7">
        <v>44.709400000000002</v>
      </c>
      <c r="G15" s="5">
        <v>22.117100000000001</v>
      </c>
      <c r="H15" s="5">
        <v>13.7371</v>
      </c>
      <c r="I15" s="5">
        <v>17.927099999999999</v>
      </c>
      <c r="J15" s="5">
        <v>4.4249999999999998</v>
      </c>
      <c r="K15" s="7">
        <v>0.91500000000000004</v>
      </c>
      <c r="L15" s="5"/>
      <c r="M15" s="5"/>
      <c r="N15" s="7">
        <v>0</v>
      </c>
    </row>
    <row r="16" spans="1:14" x14ac:dyDescent="0.25">
      <c r="A16" s="7" t="s">
        <v>14</v>
      </c>
      <c r="B16" s="5">
        <v>87.92</v>
      </c>
      <c r="C16" s="7" t="s">
        <v>92</v>
      </c>
      <c r="D16" s="5">
        <v>110</v>
      </c>
      <c r="E16" s="5">
        <v>68</v>
      </c>
      <c r="F16" s="7">
        <v>78.740200000000002</v>
      </c>
      <c r="G16" s="5">
        <v>15.723000000000001</v>
      </c>
      <c r="H16" s="5">
        <v>21.249500000000001</v>
      </c>
      <c r="I16" s="5">
        <v>18.486249999999998</v>
      </c>
      <c r="J16" s="5">
        <v>2.67</v>
      </c>
      <c r="K16" s="7">
        <v>1.51</v>
      </c>
      <c r="L16" s="5">
        <v>2</v>
      </c>
      <c r="M16" s="5">
        <v>3</v>
      </c>
      <c r="N16" s="7">
        <v>0</v>
      </c>
    </row>
    <row r="17" spans="1:14" x14ac:dyDescent="0.25">
      <c r="A17" s="7" t="s">
        <v>15</v>
      </c>
      <c r="B17" s="5">
        <v>77.849999999999994</v>
      </c>
      <c r="C17" s="7" t="s">
        <v>91</v>
      </c>
      <c r="D17" s="5">
        <v>134</v>
      </c>
      <c r="E17" s="5">
        <v>79</v>
      </c>
      <c r="F17" s="7">
        <v>55.045900000000003</v>
      </c>
      <c r="G17" s="5">
        <v>33.993400000000001</v>
      </c>
      <c r="H17" s="5">
        <v>40.364800000000002</v>
      </c>
      <c r="I17" s="5">
        <v>37.179099999999998</v>
      </c>
      <c r="J17" s="5">
        <v>2.81</v>
      </c>
      <c r="K17" s="7">
        <v>1.1850000000000001</v>
      </c>
      <c r="L17" s="5"/>
      <c r="M17" s="5"/>
      <c r="N17" s="7">
        <v>0</v>
      </c>
    </row>
    <row r="18" spans="1:14" x14ac:dyDescent="0.25">
      <c r="A18" s="7" t="s">
        <v>16</v>
      </c>
      <c r="B18" s="5">
        <v>56.52</v>
      </c>
      <c r="C18" s="7" t="s">
        <v>92</v>
      </c>
      <c r="D18" s="5">
        <v>110</v>
      </c>
      <c r="E18" s="5">
        <v>68</v>
      </c>
      <c r="F18" s="7">
        <v>55.248600000000003</v>
      </c>
      <c r="G18" s="5">
        <v>17.058299999999999</v>
      </c>
      <c r="H18" s="5">
        <v>40.910600000000002</v>
      </c>
      <c r="I18" s="5">
        <v>28.984449999999999</v>
      </c>
      <c r="J18" s="5">
        <v>5.2</v>
      </c>
      <c r="K18" s="7">
        <v>0.68</v>
      </c>
      <c r="L18" s="5"/>
      <c r="M18" s="5"/>
      <c r="N18" s="7">
        <v>0</v>
      </c>
    </row>
    <row r="19" spans="1:14" x14ac:dyDescent="0.25">
      <c r="A19" s="7" t="s">
        <v>17</v>
      </c>
      <c r="B19" s="5">
        <v>67.95</v>
      </c>
      <c r="C19" s="7" t="s">
        <v>92</v>
      </c>
      <c r="D19" s="5">
        <v>117</v>
      </c>
      <c r="E19" s="5">
        <v>71</v>
      </c>
      <c r="F19" s="7">
        <v>53.956800000000001</v>
      </c>
      <c r="G19" s="5">
        <v>27.2989</v>
      </c>
      <c r="H19" s="5">
        <v>33.962899999999998</v>
      </c>
      <c r="I19" s="5">
        <v>30.6309</v>
      </c>
      <c r="J19" s="5">
        <v>3.9649999999999999</v>
      </c>
      <c r="K19" s="7">
        <v>1.0649999999999999</v>
      </c>
      <c r="L19" s="5"/>
      <c r="M19" s="5"/>
      <c r="N19" s="7">
        <v>1</v>
      </c>
    </row>
    <row r="20" spans="1:14" x14ac:dyDescent="0.25">
      <c r="A20" s="7" t="s">
        <v>18</v>
      </c>
      <c r="B20" s="5">
        <v>88.55</v>
      </c>
      <c r="C20" s="7" t="s">
        <v>92</v>
      </c>
      <c r="D20" s="5">
        <v>153</v>
      </c>
      <c r="E20" s="5">
        <v>72</v>
      </c>
      <c r="F20" s="7">
        <v>55.970100000000002</v>
      </c>
      <c r="G20" s="5">
        <v>17.7166</v>
      </c>
      <c r="H20" s="5">
        <v>29.0608</v>
      </c>
      <c r="I20" s="5">
        <v>23.3887</v>
      </c>
      <c r="J20" s="5">
        <v>2.2850000000000001</v>
      </c>
      <c r="K20" s="7">
        <v>1.9550000000000001</v>
      </c>
      <c r="L20" s="5"/>
      <c r="M20" s="5"/>
      <c r="N20" s="7">
        <v>0</v>
      </c>
    </row>
    <row r="21" spans="1:14" x14ac:dyDescent="0.25">
      <c r="A21" s="8" t="s">
        <v>19</v>
      </c>
      <c r="B21" s="6">
        <v>60.63</v>
      </c>
      <c r="C21" s="8" t="s">
        <v>91</v>
      </c>
      <c r="D21" s="6">
        <v>95</v>
      </c>
      <c r="E21" s="6">
        <v>61</v>
      </c>
      <c r="F21" s="8">
        <v>50</v>
      </c>
      <c r="G21" s="6">
        <v>18.142099999999999</v>
      </c>
      <c r="H21" s="6">
        <v>16.5245</v>
      </c>
      <c r="I21" s="6">
        <v>17.333300000000001</v>
      </c>
      <c r="J21" s="6">
        <v>2.8899999999999997</v>
      </c>
      <c r="K21" s="8">
        <v>1.26</v>
      </c>
      <c r="L21" s="6"/>
      <c r="M21" s="6"/>
      <c r="N21" s="8">
        <v>0</v>
      </c>
    </row>
    <row r="22" spans="1:14" x14ac:dyDescent="0.25">
      <c r="A22" s="7" t="s">
        <v>82</v>
      </c>
      <c r="B22" s="5">
        <v>69.3</v>
      </c>
      <c r="C22" s="7" t="s">
        <v>92</v>
      </c>
      <c r="D22" s="5">
        <v>107</v>
      </c>
      <c r="E22" s="5">
        <v>67</v>
      </c>
      <c r="F22" s="7">
        <v>60</v>
      </c>
      <c r="G22" s="5">
        <v>3.4546000000000001</v>
      </c>
      <c r="H22" s="5">
        <v>38.375799999999998</v>
      </c>
      <c r="I22" s="5">
        <v>20.915199999999999</v>
      </c>
      <c r="J22" s="5">
        <v>3.9350000000000001</v>
      </c>
      <c r="K22" s="7">
        <v>1.0249999999999999</v>
      </c>
      <c r="L22" s="5">
        <v>3</v>
      </c>
      <c r="M22" s="5">
        <v>3</v>
      </c>
      <c r="N22" s="7">
        <v>0</v>
      </c>
    </row>
    <row r="23" spans="1:14" x14ac:dyDescent="0.25">
      <c r="A23" s="7" t="s">
        <v>81</v>
      </c>
      <c r="B23" s="5">
        <v>70.349999999999994</v>
      </c>
      <c r="C23" s="7" t="s">
        <v>92</v>
      </c>
      <c r="D23" s="5">
        <v>140</v>
      </c>
      <c r="E23" s="5">
        <v>80</v>
      </c>
      <c r="F23" s="7">
        <v>58.939100000000003</v>
      </c>
      <c r="G23" s="5">
        <v>10.974</v>
      </c>
      <c r="H23" s="5">
        <v>7.8829000000000002</v>
      </c>
      <c r="I23" s="5">
        <v>9.4284499999999998</v>
      </c>
      <c r="J23" s="5">
        <v>3.145</v>
      </c>
      <c r="K23" s="7">
        <v>1.385</v>
      </c>
      <c r="L23" s="5">
        <v>3</v>
      </c>
      <c r="M23" s="5">
        <v>3</v>
      </c>
      <c r="N23" s="7">
        <v>0</v>
      </c>
    </row>
    <row r="24" spans="1:14" x14ac:dyDescent="0.25">
      <c r="A24" s="7" t="s">
        <v>80</v>
      </c>
      <c r="B24" s="5">
        <v>66.91</v>
      </c>
      <c r="C24" s="7" t="s">
        <v>91</v>
      </c>
      <c r="D24" s="5">
        <v>142</v>
      </c>
      <c r="E24" s="5">
        <v>87</v>
      </c>
      <c r="F24" s="7">
        <v>74.441699999999997</v>
      </c>
      <c r="G24" s="5">
        <v>15.637600000000001</v>
      </c>
      <c r="H24" s="5">
        <v>3.7263000000000002</v>
      </c>
      <c r="I24" s="5">
        <v>9.6819500000000005</v>
      </c>
      <c r="J24" s="5">
        <v>3.9</v>
      </c>
      <c r="K24" s="7">
        <v>1.22</v>
      </c>
      <c r="L24" s="5">
        <v>3</v>
      </c>
      <c r="M24" s="5">
        <v>3</v>
      </c>
      <c r="N24" s="7">
        <v>0</v>
      </c>
    </row>
    <row r="25" spans="1:14" x14ac:dyDescent="0.25">
      <c r="A25" s="7" t="s">
        <v>79</v>
      </c>
      <c r="B25" s="5">
        <v>71.31</v>
      </c>
      <c r="C25" s="7" t="s">
        <v>91</v>
      </c>
      <c r="D25" s="5">
        <v>162</v>
      </c>
      <c r="E25" s="5">
        <v>74</v>
      </c>
      <c r="F25" s="7">
        <v>54.545499999999997</v>
      </c>
      <c r="G25" s="5">
        <v>36.79</v>
      </c>
      <c r="H25" s="5">
        <v>17.307400000000001</v>
      </c>
      <c r="I25" s="5">
        <v>27.0487</v>
      </c>
      <c r="J25" s="5">
        <v>2.2149999999999999</v>
      </c>
      <c r="K25" s="7">
        <v>1.64</v>
      </c>
      <c r="L25" s="5">
        <v>3</v>
      </c>
      <c r="M25" s="5">
        <v>3</v>
      </c>
      <c r="N25" s="7">
        <v>0</v>
      </c>
    </row>
    <row r="26" spans="1:14" x14ac:dyDescent="0.25">
      <c r="A26" s="7" t="s">
        <v>78</v>
      </c>
      <c r="B26" s="5">
        <v>77.41</v>
      </c>
      <c r="C26" s="7" t="s">
        <v>92</v>
      </c>
      <c r="D26" s="5">
        <v>136</v>
      </c>
      <c r="E26" s="5">
        <v>82</v>
      </c>
      <c r="F26" s="7">
        <v>67.264600000000002</v>
      </c>
      <c r="G26" s="5">
        <v>6.0811999999999999</v>
      </c>
      <c r="H26" s="5">
        <v>17.605</v>
      </c>
      <c r="I26" s="5">
        <v>11.8431</v>
      </c>
      <c r="J26" s="5">
        <v>3.3449999999999998</v>
      </c>
      <c r="K26" s="7">
        <v>1.23</v>
      </c>
      <c r="L26" s="5">
        <v>3</v>
      </c>
      <c r="M26" s="5">
        <v>3</v>
      </c>
      <c r="N26" s="7">
        <v>0</v>
      </c>
    </row>
    <row r="27" spans="1:14" x14ac:dyDescent="0.25">
      <c r="A27" s="7" t="s">
        <v>83</v>
      </c>
      <c r="B27" s="5">
        <v>73.739999999999995</v>
      </c>
      <c r="C27" s="7" t="s">
        <v>91</v>
      </c>
      <c r="D27" s="5">
        <v>134</v>
      </c>
      <c r="E27" s="5">
        <v>74</v>
      </c>
      <c r="F27" s="7">
        <v>55.248600000000003</v>
      </c>
      <c r="G27" s="5">
        <v>4.5717999999999996</v>
      </c>
      <c r="H27" s="5">
        <v>11.305099999999999</v>
      </c>
      <c r="I27" s="5">
        <v>7.9384499999999996</v>
      </c>
      <c r="J27" s="5">
        <v>3.96</v>
      </c>
      <c r="K27" s="7">
        <v>1.385</v>
      </c>
      <c r="L27" s="5">
        <v>3</v>
      </c>
      <c r="M27" s="5">
        <v>3</v>
      </c>
      <c r="N27" s="7">
        <v>0</v>
      </c>
    </row>
    <row r="28" spans="1:14" x14ac:dyDescent="0.25">
      <c r="A28" s="7" t="s">
        <v>77</v>
      </c>
      <c r="B28" s="5">
        <v>69.86</v>
      </c>
      <c r="C28" s="7" t="s">
        <v>92</v>
      </c>
      <c r="D28" s="5">
        <v>110</v>
      </c>
      <c r="E28" s="5">
        <v>68</v>
      </c>
      <c r="F28" s="7">
        <v>52.173900000000003</v>
      </c>
      <c r="G28" s="5">
        <v>9.9057999999999993</v>
      </c>
      <c r="H28" s="5">
        <v>9.5238999999999994</v>
      </c>
      <c r="I28" s="5">
        <v>9.7148500000000002</v>
      </c>
      <c r="J28" s="5">
        <v>3.7199999999999998</v>
      </c>
      <c r="K28" s="7">
        <v>1.56</v>
      </c>
      <c r="L28" s="5">
        <v>3</v>
      </c>
      <c r="M28" s="5">
        <v>3</v>
      </c>
      <c r="N28" s="7">
        <v>0</v>
      </c>
    </row>
    <row r="29" spans="1:14" x14ac:dyDescent="0.25">
      <c r="A29" s="7" t="s">
        <v>76</v>
      </c>
      <c r="B29" s="5">
        <v>70.31</v>
      </c>
      <c r="C29" s="7" t="s">
        <v>91</v>
      </c>
      <c r="D29" s="5">
        <v>136</v>
      </c>
      <c r="E29" s="5">
        <v>80</v>
      </c>
      <c r="F29" s="7">
        <v>64.794799999999995</v>
      </c>
      <c r="G29" s="5">
        <v>7.2276999999999996</v>
      </c>
      <c r="H29" s="5">
        <v>12.5649</v>
      </c>
      <c r="I29" s="5">
        <v>9.8963000000000001</v>
      </c>
      <c r="J29" s="5">
        <v>3.87</v>
      </c>
      <c r="K29" s="7">
        <v>1.145</v>
      </c>
      <c r="L29" s="5">
        <v>3</v>
      </c>
      <c r="M29" s="5">
        <v>3</v>
      </c>
      <c r="N29" s="7">
        <v>0</v>
      </c>
    </row>
    <row r="30" spans="1:14" x14ac:dyDescent="0.25">
      <c r="A30" s="7" t="s">
        <v>75</v>
      </c>
      <c r="B30" s="5">
        <v>73.48</v>
      </c>
      <c r="C30" s="7" t="s">
        <v>92</v>
      </c>
      <c r="D30" s="5">
        <v>156</v>
      </c>
      <c r="E30" s="5">
        <v>74</v>
      </c>
      <c r="F30" s="7">
        <v>52.631599999999999</v>
      </c>
      <c r="G30" s="5">
        <v>19.6663</v>
      </c>
      <c r="H30" s="5">
        <v>9.2446999999999999</v>
      </c>
      <c r="I30" s="5">
        <v>14.455500000000001</v>
      </c>
      <c r="J30" s="5">
        <v>3.38</v>
      </c>
      <c r="K30" s="7">
        <v>1.33</v>
      </c>
      <c r="L30" s="5">
        <v>3</v>
      </c>
      <c r="M30" s="5">
        <v>3</v>
      </c>
      <c r="N30" s="7">
        <v>0</v>
      </c>
    </row>
    <row r="31" spans="1:14" x14ac:dyDescent="0.25">
      <c r="A31" s="7" t="s">
        <v>73</v>
      </c>
      <c r="B31" s="5">
        <v>65.680000000000007</v>
      </c>
      <c r="C31" s="7" t="s">
        <v>92</v>
      </c>
      <c r="D31" s="5">
        <v>121</v>
      </c>
      <c r="E31" s="5">
        <v>74</v>
      </c>
      <c r="F31" s="7">
        <v>55.4529</v>
      </c>
      <c r="G31" s="5">
        <v>15.3962</v>
      </c>
      <c r="H31" s="5">
        <v>7.3219000000000003</v>
      </c>
      <c r="I31" s="5">
        <v>11.35905</v>
      </c>
      <c r="J31" s="5">
        <v>3.97</v>
      </c>
      <c r="K31" s="7">
        <v>1.1749999999999998</v>
      </c>
      <c r="L31" s="5">
        <v>3</v>
      </c>
      <c r="M31" s="5">
        <v>4</v>
      </c>
      <c r="N31" s="7">
        <v>0</v>
      </c>
    </row>
    <row r="32" spans="1:14" x14ac:dyDescent="0.25">
      <c r="A32" s="7" t="s">
        <v>72</v>
      </c>
      <c r="B32" s="5">
        <v>66.59</v>
      </c>
      <c r="C32" s="7" t="s">
        <v>92</v>
      </c>
      <c r="D32" s="5">
        <v>142</v>
      </c>
      <c r="E32" s="5">
        <v>85</v>
      </c>
      <c r="F32" s="7">
        <v>71.942400000000006</v>
      </c>
      <c r="G32" s="5">
        <v>13.7517</v>
      </c>
      <c r="H32" s="5">
        <v>12.2956</v>
      </c>
      <c r="I32" s="5">
        <v>13.02365</v>
      </c>
      <c r="J32" s="5">
        <v>3.77</v>
      </c>
      <c r="K32" s="7">
        <v>0.92500000000000004</v>
      </c>
      <c r="L32" s="5">
        <v>3</v>
      </c>
      <c r="M32" s="5">
        <v>3</v>
      </c>
      <c r="N32" s="7">
        <v>1</v>
      </c>
    </row>
    <row r="33" spans="1:14" x14ac:dyDescent="0.25">
      <c r="A33" s="7" t="s">
        <v>71</v>
      </c>
      <c r="B33" s="5">
        <v>68.97</v>
      </c>
      <c r="C33" s="7" t="s">
        <v>91</v>
      </c>
      <c r="D33" s="5">
        <v>113</v>
      </c>
      <c r="E33" s="5">
        <v>79</v>
      </c>
      <c r="F33" s="7">
        <v>76.726299999999995</v>
      </c>
      <c r="G33" s="5">
        <v>6.3975</v>
      </c>
      <c r="H33" s="5">
        <v>11.953799999999999</v>
      </c>
      <c r="I33" s="5">
        <v>9.1756499999999992</v>
      </c>
      <c r="J33" s="5">
        <v>3.74</v>
      </c>
      <c r="K33" s="7">
        <v>0.84499999999999997</v>
      </c>
      <c r="L33" s="5">
        <v>2</v>
      </c>
      <c r="M33" s="5">
        <v>3</v>
      </c>
      <c r="N33" s="7">
        <v>0</v>
      </c>
    </row>
    <row r="34" spans="1:14" x14ac:dyDescent="0.25">
      <c r="A34" s="7" t="s">
        <v>69</v>
      </c>
      <c r="B34" s="5">
        <v>69.73</v>
      </c>
      <c r="C34" s="7" t="s">
        <v>91</v>
      </c>
      <c r="D34" s="5">
        <v>144</v>
      </c>
      <c r="E34" s="5">
        <v>76</v>
      </c>
      <c r="F34" s="7">
        <v>68.649900000000002</v>
      </c>
      <c r="G34" s="5">
        <v>8.7239000000000004</v>
      </c>
      <c r="H34" s="5">
        <v>16.269300000000001</v>
      </c>
      <c r="I34" s="5">
        <v>12.496600000000001</v>
      </c>
      <c r="J34" s="5">
        <v>2.6799999999999997</v>
      </c>
      <c r="K34" s="7">
        <v>1.53</v>
      </c>
      <c r="L34" s="5">
        <v>3</v>
      </c>
      <c r="M34" s="5">
        <v>3</v>
      </c>
      <c r="N34" s="7">
        <v>0</v>
      </c>
    </row>
    <row r="35" spans="1:14" x14ac:dyDescent="0.25">
      <c r="A35" s="7" t="s">
        <v>68</v>
      </c>
      <c r="B35" s="5">
        <v>72.180000000000007</v>
      </c>
      <c r="C35" s="7" t="s">
        <v>92</v>
      </c>
      <c r="D35" s="5">
        <v>135</v>
      </c>
      <c r="E35" s="5">
        <v>75</v>
      </c>
      <c r="F35" s="7">
        <v>67.720100000000002</v>
      </c>
      <c r="G35" s="5">
        <v>7.3437000000000001</v>
      </c>
      <c r="H35" s="5">
        <v>20.191199999999998</v>
      </c>
      <c r="I35" s="5">
        <v>13.76745</v>
      </c>
      <c r="J35" s="5">
        <v>2.2400000000000002</v>
      </c>
      <c r="K35" s="7">
        <v>1.31</v>
      </c>
      <c r="L35" s="5">
        <v>3</v>
      </c>
      <c r="M35" s="5">
        <v>3</v>
      </c>
      <c r="N35" s="7">
        <v>0</v>
      </c>
    </row>
    <row r="36" spans="1:14" x14ac:dyDescent="0.25">
      <c r="A36" s="7" t="s">
        <v>67</v>
      </c>
      <c r="B36" s="5">
        <v>74.099999999999994</v>
      </c>
      <c r="C36" s="7" t="s">
        <v>91</v>
      </c>
      <c r="D36" s="5">
        <v>113</v>
      </c>
      <c r="E36" s="5">
        <v>75</v>
      </c>
      <c r="F36" s="7">
        <v>68.493200000000002</v>
      </c>
      <c r="G36" s="5">
        <v>21.842199999999998</v>
      </c>
      <c r="H36" s="5">
        <v>6.3334999999999999</v>
      </c>
      <c r="I36" s="5">
        <v>14.08785</v>
      </c>
      <c r="J36" s="5">
        <v>3.59</v>
      </c>
      <c r="K36" s="7">
        <v>1.05</v>
      </c>
      <c r="L36" s="5">
        <v>3</v>
      </c>
      <c r="M36" s="5">
        <v>3</v>
      </c>
      <c r="N36" s="7">
        <v>0</v>
      </c>
    </row>
    <row r="37" spans="1:14" x14ac:dyDescent="0.25">
      <c r="A37" s="7" t="s">
        <v>65</v>
      </c>
      <c r="B37" s="5">
        <v>66.41</v>
      </c>
      <c r="C37" s="7" t="s">
        <v>91</v>
      </c>
      <c r="D37" s="5">
        <v>126</v>
      </c>
      <c r="E37" s="5">
        <v>89</v>
      </c>
      <c r="F37" s="7">
        <v>53.86</v>
      </c>
      <c r="G37" s="5">
        <v>10.0364</v>
      </c>
      <c r="H37" s="5">
        <v>2.0804</v>
      </c>
      <c r="I37" s="5">
        <v>6.0583999999999998</v>
      </c>
      <c r="J37" s="5">
        <v>3.0950000000000002</v>
      </c>
      <c r="K37" s="7">
        <v>1.2</v>
      </c>
      <c r="L37" s="5">
        <v>2</v>
      </c>
      <c r="M37" s="5">
        <v>3</v>
      </c>
      <c r="N37" s="7">
        <v>0</v>
      </c>
    </row>
    <row r="38" spans="1:14" x14ac:dyDescent="0.25">
      <c r="A38" s="7" t="s">
        <v>64</v>
      </c>
      <c r="B38" s="5">
        <v>66.14</v>
      </c>
      <c r="C38" s="7" t="s">
        <v>92</v>
      </c>
      <c r="D38" s="5">
        <v>136</v>
      </c>
      <c r="E38" s="5">
        <v>84</v>
      </c>
      <c r="F38" s="7">
        <v>55.970100000000002</v>
      </c>
      <c r="G38" s="5">
        <v>11.5677</v>
      </c>
      <c r="H38" s="5">
        <v>23.549700000000001</v>
      </c>
      <c r="I38" s="5">
        <v>17.558700000000002</v>
      </c>
      <c r="J38" s="5">
        <v>3.31</v>
      </c>
      <c r="K38" s="7">
        <v>1.2200000000000002</v>
      </c>
      <c r="L38" s="5">
        <v>3</v>
      </c>
      <c r="M38" s="5">
        <v>3</v>
      </c>
      <c r="N38" s="7">
        <v>0</v>
      </c>
    </row>
    <row r="39" spans="1:14" x14ac:dyDescent="0.25">
      <c r="A39" s="7" t="s">
        <v>63</v>
      </c>
      <c r="B39" s="5">
        <v>72.16</v>
      </c>
      <c r="C39" s="7" t="s">
        <v>91</v>
      </c>
      <c r="D39" s="5">
        <v>130</v>
      </c>
      <c r="E39" s="5">
        <v>78</v>
      </c>
      <c r="F39" s="7">
        <v>70.257599999999996</v>
      </c>
      <c r="G39" s="5">
        <v>15.3314</v>
      </c>
      <c r="H39" s="5">
        <v>20.209800000000001</v>
      </c>
      <c r="I39" s="5">
        <v>17.770600000000002</v>
      </c>
      <c r="J39" s="5">
        <v>3.665</v>
      </c>
      <c r="K39" s="7">
        <v>1.1549999999999998</v>
      </c>
      <c r="L39" s="5">
        <v>2</v>
      </c>
      <c r="M39" s="5">
        <v>3</v>
      </c>
      <c r="N39" s="7">
        <v>0</v>
      </c>
    </row>
    <row r="40" spans="1:14" x14ac:dyDescent="0.25">
      <c r="A40" s="7" t="s">
        <v>62</v>
      </c>
      <c r="B40" s="5">
        <v>67.38</v>
      </c>
      <c r="C40" s="7" t="s">
        <v>91</v>
      </c>
      <c r="D40" s="5">
        <v>146</v>
      </c>
      <c r="E40" s="5">
        <v>90</v>
      </c>
      <c r="F40" s="7">
        <v>62.5</v>
      </c>
      <c r="G40" s="5">
        <v>5.6186999999999996</v>
      </c>
      <c r="H40" s="5">
        <v>6.9631999999999996</v>
      </c>
      <c r="I40" s="5">
        <v>6.2909499999999996</v>
      </c>
      <c r="J40" s="5">
        <v>4.4800000000000004</v>
      </c>
      <c r="K40" s="7">
        <v>1.2949999999999999</v>
      </c>
      <c r="L40" s="5">
        <v>3</v>
      </c>
      <c r="M40" s="5">
        <v>3</v>
      </c>
      <c r="N40" s="7">
        <v>0</v>
      </c>
    </row>
    <row r="41" spans="1:14" x14ac:dyDescent="0.25">
      <c r="A41" s="7" t="s">
        <v>61</v>
      </c>
      <c r="B41" s="5">
        <v>67.88</v>
      </c>
      <c r="C41" s="7" t="s">
        <v>92</v>
      </c>
      <c r="D41" s="5">
        <v>100</v>
      </c>
      <c r="E41" s="5">
        <v>49</v>
      </c>
      <c r="F41" s="7">
        <v>51.2821</v>
      </c>
      <c r="G41" s="5">
        <v>30.041499999999999</v>
      </c>
      <c r="H41" s="5">
        <v>8.0736000000000008</v>
      </c>
      <c r="I41" s="5">
        <v>19.057549999999999</v>
      </c>
      <c r="J41" s="5">
        <v>4.37</v>
      </c>
      <c r="K41" s="7">
        <v>0.95499999999999996</v>
      </c>
      <c r="L41" s="5">
        <v>3</v>
      </c>
      <c r="M41" s="5">
        <v>3</v>
      </c>
      <c r="N41" s="7">
        <v>0</v>
      </c>
    </row>
    <row r="42" spans="1:14" x14ac:dyDescent="0.25">
      <c r="A42" s="7" t="s">
        <v>60</v>
      </c>
      <c r="B42" s="5">
        <v>65.64</v>
      </c>
      <c r="C42" s="7" t="s">
        <v>91</v>
      </c>
      <c r="D42" s="5">
        <v>144</v>
      </c>
      <c r="E42" s="5">
        <v>79</v>
      </c>
      <c r="F42" s="7">
        <v>75.566800000000001</v>
      </c>
      <c r="G42" s="5">
        <v>42.664499999999997</v>
      </c>
      <c r="H42" s="5">
        <v>5.1475999999999997</v>
      </c>
      <c r="I42" s="5">
        <v>23.90605</v>
      </c>
      <c r="J42" s="5">
        <v>4.4800000000000004</v>
      </c>
      <c r="K42" s="7">
        <v>1.2949999999999999</v>
      </c>
      <c r="L42" s="5">
        <v>3</v>
      </c>
      <c r="M42" s="5">
        <v>3</v>
      </c>
      <c r="N42" s="7">
        <v>0</v>
      </c>
    </row>
    <row r="43" spans="1:14" x14ac:dyDescent="0.25">
      <c r="A43" s="7" t="s">
        <v>58</v>
      </c>
      <c r="B43" s="5">
        <v>78.8</v>
      </c>
      <c r="C43" s="7" t="s">
        <v>91</v>
      </c>
      <c r="D43" s="5">
        <v>121</v>
      </c>
      <c r="E43" s="5">
        <v>79</v>
      </c>
      <c r="F43" s="7">
        <v>85.714299999999994</v>
      </c>
      <c r="G43" s="5">
        <v>35.501199999999997</v>
      </c>
      <c r="H43" s="5">
        <v>14.69</v>
      </c>
      <c r="I43" s="5">
        <v>25.095600000000001</v>
      </c>
      <c r="J43" s="5">
        <v>2.41</v>
      </c>
      <c r="K43" s="7">
        <v>1.08</v>
      </c>
      <c r="L43" s="5">
        <v>3</v>
      </c>
      <c r="M43" s="5">
        <v>3</v>
      </c>
      <c r="N43" s="7">
        <v>0</v>
      </c>
    </row>
    <row r="44" spans="1:14" x14ac:dyDescent="0.25">
      <c r="A44" s="7" t="s">
        <v>57</v>
      </c>
      <c r="B44" s="5">
        <v>66.55</v>
      </c>
      <c r="C44" s="7" t="s">
        <v>91</v>
      </c>
      <c r="D44" s="5">
        <v>123</v>
      </c>
      <c r="E44" s="5">
        <v>79</v>
      </c>
      <c r="F44" s="7">
        <v>57.8035</v>
      </c>
      <c r="G44" s="5">
        <v>9.1564999999999994</v>
      </c>
      <c r="H44" s="5">
        <v>8.5279000000000007</v>
      </c>
      <c r="I44" s="5">
        <v>8.8422000000000001</v>
      </c>
      <c r="J44" s="5">
        <v>5.2349999999999994</v>
      </c>
      <c r="K44" s="7">
        <v>1</v>
      </c>
      <c r="L44" s="5">
        <v>3</v>
      </c>
      <c r="M44" s="5">
        <v>3</v>
      </c>
      <c r="N44" s="7">
        <v>0</v>
      </c>
    </row>
    <row r="45" spans="1:14" x14ac:dyDescent="0.25">
      <c r="A45" s="7" t="s">
        <v>56</v>
      </c>
      <c r="B45" s="5">
        <v>74.930000000000007</v>
      </c>
      <c r="C45" s="7" t="s">
        <v>92</v>
      </c>
      <c r="D45" s="5">
        <v>114</v>
      </c>
      <c r="E45" s="5">
        <v>71</v>
      </c>
      <c r="F45" s="7">
        <v>55.4529</v>
      </c>
      <c r="G45" s="5">
        <v>52.819600000000001</v>
      </c>
      <c r="H45" s="5">
        <v>5.9351000000000003</v>
      </c>
      <c r="I45" s="5">
        <v>29.37735</v>
      </c>
      <c r="J45" s="5">
        <v>2.6950000000000003</v>
      </c>
      <c r="K45" s="7">
        <v>1.33</v>
      </c>
      <c r="L45" s="5">
        <v>3</v>
      </c>
      <c r="M45" s="5">
        <v>3</v>
      </c>
      <c r="N45" s="7">
        <v>0</v>
      </c>
    </row>
    <row r="46" spans="1:14" x14ac:dyDescent="0.25">
      <c r="A46" s="7" t="s">
        <v>55</v>
      </c>
      <c r="B46" s="5">
        <v>79.540000000000006</v>
      </c>
      <c r="C46" s="7" t="s">
        <v>91</v>
      </c>
      <c r="D46" s="5">
        <v>107</v>
      </c>
      <c r="E46" s="5">
        <v>73</v>
      </c>
      <c r="F46" s="7">
        <v>62.240699999999997</v>
      </c>
      <c r="G46" s="5">
        <v>36.949199999999998</v>
      </c>
      <c r="H46" s="5">
        <v>24.676500000000001</v>
      </c>
      <c r="I46" s="5">
        <v>30.812850000000001</v>
      </c>
      <c r="J46" s="5">
        <v>3.0999999999999996</v>
      </c>
      <c r="K46" s="7">
        <v>1.08</v>
      </c>
      <c r="L46" s="5">
        <v>3</v>
      </c>
      <c r="M46" s="5">
        <v>3</v>
      </c>
      <c r="N46" s="7">
        <v>0</v>
      </c>
    </row>
    <row r="47" spans="1:14" x14ac:dyDescent="0.25">
      <c r="A47" s="7" t="s">
        <v>54</v>
      </c>
      <c r="B47" s="5">
        <v>86.51</v>
      </c>
      <c r="C47" s="7" t="s">
        <v>91</v>
      </c>
      <c r="D47" s="5">
        <v>105</v>
      </c>
      <c r="E47" s="5">
        <v>70</v>
      </c>
      <c r="F47" s="7">
        <v>47.169800000000002</v>
      </c>
      <c r="G47" s="5">
        <v>8.7911000000000001</v>
      </c>
      <c r="H47" s="5">
        <v>13.049300000000001</v>
      </c>
      <c r="I47" s="5">
        <v>10.920199999999999</v>
      </c>
      <c r="J47" s="5">
        <v>2.5149999999999997</v>
      </c>
      <c r="K47" s="7">
        <v>1.8249999999999997</v>
      </c>
      <c r="L47" s="5">
        <v>3</v>
      </c>
      <c r="M47" s="5">
        <v>3</v>
      </c>
      <c r="N47" s="7">
        <v>0</v>
      </c>
    </row>
    <row r="48" spans="1:14" x14ac:dyDescent="0.25">
      <c r="A48" s="7" t="s">
        <v>53</v>
      </c>
      <c r="B48" s="5">
        <v>85.1</v>
      </c>
      <c r="C48" s="7" t="s">
        <v>92</v>
      </c>
      <c r="D48" s="5">
        <v>198</v>
      </c>
      <c r="E48" s="5">
        <v>85</v>
      </c>
      <c r="F48" s="7">
        <v>63.694299999999998</v>
      </c>
      <c r="G48" s="5">
        <v>25.253799999999998</v>
      </c>
      <c r="H48" s="5">
        <v>8.3041</v>
      </c>
      <c r="I48" s="5">
        <v>16.778949999999998</v>
      </c>
      <c r="J48" s="5">
        <v>4.46</v>
      </c>
      <c r="K48" s="7">
        <v>1.1299999999999999</v>
      </c>
      <c r="L48" s="5">
        <v>2</v>
      </c>
      <c r="M48" s="5">
        <v>3</v>
      </c>
      <c r="N48" s="7">
        <v>0</v>
      </c>
    </row>
    <row r="49" spans="1:14" x14ac:dyDescent="0.25">
      <c r="A49" s="7" t="s">
        <v>52</v>
      </c>
      <c r="B49" s="5">
        <v>84.03</v>
      </c>
      <c r="C49" s="7" t="s">
        <v>92</v>
      </c>
      <c r="D49" s="5">
        <v>103</v>
      </c>
      <c r="E49" s="5">
        <v>70</v>
      </c>
      <c r="F49" s="7">
        <v>70.588200000000001</v>
      </c>
      <c r="G49" s="5">
        <v>19.180599999999998</v>
      </c>
      <c r="H49" s="5">
        <v>39.665900000000001</v>
      </c>
      <c r="I49" s="5">
        <v>29.423249999999999</v>
      </c>
      <c r="J49" s="5">
        <v>3.2250000000000001</v>
      </c>
      <c r="K49" s="7">
        <v>1.415</v>
      </c>
      <c r="L49" s="5">
        <v>3</v>
      </c>
      <c r="M49" s="5">
        <v>3</v>
      </c>
      <c r="N49" s="7">
        <v>0</v>
      </c>
    </row>
    <row r="50" spans="1:14" x14ac:dyDescent="0.25">
      <c r="A50" s="7" t="s">
        <v>50</v>
      </c>
      <c r="B50" s="5">
        <v>66.45</v>
      </c>
      <c r="C50" s="7" t="s">
        <v>91</v>
      </c>
      <c r="D50" s="5">
        <v>133</v>
      </c>
      <c r="E50" s="5">
        <v>86</v>
      </c>
      <c r="F50" s="7">
        <v>55.6586</v>
      </c>
      <c r="G50" s="5">
        <v>35.261699999999998</v>
      </c>
      <c r="H50" s="5">
        <v>6.6927000000000003</v>
      </c>
      <c r="I50" s="5">
        <v>20.9772</v>
      </c>
      <c r="J50" s="5">
        <v>3.1950000000000003</v>
      </c>
      <c r="K50" s="7">
        <v>1.03</v>
      </c>
      <c r="L50" s="5">
        <v>3</v>
      </c>
      <c r="M50" s="5">
        <v>3</v>
      </c>
      <c r="N50" s="7">
        <v>0</v>
      </c>
    </row>
    <row r="51" spans="1:14" x14ac:dyDescent="0.25">
      <c r="A51" s="7" t="s">
        <v>49</v>
      </c>
      <c r="B51" s="5">
        <v>84.88</v>
      </c>
      <c r="C51" s="7" t="s">
        <v>91</v>
      </c>
      <c r="D51" s="5">
        <v>167</v>
      </c>
      <c r="E51" s="5">
        <v>87</v>
      </c>
      <c r="F51" s="7">
        <v>57.915100000000002</v>
      </c>
      <c r="G51" s="1">
        <v>16.116099999999999</v>
      </c>
      <c r="H51" s="5">
        <v>25.512899999999998</v>
      </c>
      <c r="I51" s="5">
        <v>20.814499999999999</v>
      </c>
      <c r="J51" s="5">
        <v>3.36</v>
      </c>
      <c r="K51" s="7">
        <v>1.2349999999999999</v>
      </c>
      <c r="L51" s="5">
        <v>3</v>
      </c>
      <c r="M51" s="5">
        <v>3</v>
      </c>
      <c r="N51" s="7">
        <v>0</v>
      </c>
    </row>
    <row r="52" spans="1:14" x14ac:dyDescent="0.25">
      <c r="A52" s="7" t="s">
        <v>47</v>
      </c>
      <c r="B52" s="5">
        <v>81.56</v>
      </c>
      <c r="C52" s="7" t="s">
        <v>92</v>
      </c>
      <c r="D52" s="5">
        <v>130</v>
      </c>
      <c r="E52" s="5">
        <v>92</v>
      </c>
      <c r="F52" s="7">
        <v>68.181799999999996</v>
      </c>
      <c r="G52" s="5">
        <v>26.2654</v>
      </c>
      <c r="H52" s="5">
        <v>12.7989</v>
      </c>
      <c r="I52" s="5">
        <v>19.532150000000001</v>
      </c>
      <c r="J52" s="5">
        <v>3.7199999999999998</v>
      </c>
      <c r="K52" s="7">
        <v>1.25</v>
      </c>
      <c r="L52" s="5">
        <v>2</v>
      </c>
      <c r="M52" s="5">
        <v>3</v>
      </c>
      <c r="N52" s="7">
        <v>0</v>
      </c>
    </row>
    <row r="53" spans="1:14" x14ac:dyDescent="0.25">
      <c r="A53" s="7" t="s">
        <v>46</v>
      </c>
      <c r="B53" s="5">
        <v>81.34</v>
      </c>
      <c r="C53" s="7" t="s">
        <v>92</v>
      </c>
      <c r="D53" s="5">
        <v>125</v>
      </c>
      <c r="E53" s="5">
        <v>80</v>
      </c>
      <c r="F53" s="7">
        <v>73.891599999999997</v>
      </c>
      <c r="G53" s="5">
        <v>41.1813</v>
      </c>
      <c r="H53" s="5">
        <v>37.979199999999999</v>
      </c>
      <c r="I53" s="5">
        <v>39.580249999999999</v>
      </c>
      <c r="J53" s="5">
        <v>4.0199999999999996</v>
      </c>
      <c r="K53" s="7">
        <v>1.1599999999999999</v>
      </c>
      <c r="L53" s="5">
        <v>3</v>
      </c>
      <c r="M53" s="5">
        <v>3</v>
      </c>
      <c r="N53" s="7">
        <v>0</v>
      </c>
    </row>
    <row r="54" spans="1:14" x14ac:dyDescent="0.25">
      <c r="A54" s="7" t="s">
        <v>45</v>
      </c>
      <c r="B54" s="5">
        <v>90.37</v>
      </c>
      <c r="C54" s="7" t="s">
        <v>92</v>
      </c>
      <c r="D54" s="5">
        <v>124</v>
      </c>
      <c r="E54" s="5">
        <v>75</v>
      </c>
      <c r="F54" s="7">
        <v>64.377700000000004</v>
      </c>
      <c r="G54" s="5">
        <v>64.666899999999998</v>
      </c>
      <c r="H54" s="5">
        <v>15.536</v>
      </c>
      <c r="I54" s="5">
        <v>40.10145</v>
      </c>
      <c r="J54" s="5">
        <v>2.645</v>
      </c>
      <c r="K54" s="7">
        <v>1.67</v>
      </c>
      <c r="L54" s="5">
        <v>3</v>
      </c>
      <c r="M54" s="5">
        <v>3</v>
      </c>
      <c r="N54" s="7">
        <v>0</v>
      </c>
    </row>
    <row r="55" spans="1:14" x14ac:dyDescent="0.25">
      <c r="A55" s="7" t="s">
        <v>44</v>
      </c>
      <c r="B55" s="5">
        <v>74.900000000000006</v>
      </c>
      <c r="C55" s="7" t="s">
        <v>92</v>
      </c>
      <c r="D55" s="5">
        <v>149</v>
      </c>
      <c r="E55" s="5">
        <v>90</v>
      </c>
      <c r="F55" s="7">
        <v>50.933799999999998</v>
      </c>
      <c r="G55" s="5">
        <v>17.599499999999999</v>
      </c>
      <c r="H55" s="5">
        <v>17.933700000000002</v>
      </c>
      <c r="I55" s="5">
        <v>17.7666</v>
      </c>
      <c r="J55" s="5">
        <v>3.0649999999999999</v>
      </c>
      <c r="K55" s="7">
        <v>1.1400000000000001</v>
      </c>
      <c r="L55" s="5">
        <v>3</v>
      </c>
      <c r="M55" s="5">
        <v>3</v>
      </c>
      <c r="N55" s="7">
        <v>0</v>
      </c>
    </row>
    <row r="56" spans="1:14" x14ac:dyDescent="0.25">
      <c r="A56" s="7" t="s">
        <v>48</v>
      </c>
      <c r="B56" s="5">
        <v>80.02</v>
      </c>
      <c r="C56" s="7" t="s">
        <v>92</v>
      </c>
      <c r="D56" s="5">
        <v>133</v>
      </c>
      <c r="E56" s="5">
        <v>58</v>
      </c>
      <c r="F56" s="7">
        <v>54.644799999999996</v>
      </c>
      <c r="G56" s="1">
        <v>30.242699999999999</v>
      </c>
      <c r="H56" s="5">
        <v>10.739000000000001</v>
      </c>
      <c r="I56" s="5">
        <v>20.490849999999998</v>
      </c>
      <c r="J56" s="5">
        <v>3.3600000000000003</v>
      </c>
      <c r="K56" s="7">
        <v>1.4849999999999999</v>
      </c>
      <c r="L56" s="5">
        <v>3</v>
      </c>
      <c r="M56" s="5">
        <v>3</v>
      </c>
      <c r="N56" s="7">
        <v>0</v>
      </c>
    </row>
    <row r="57" spans="1:14" x14ac:dyDescent="0.25">
      <c r="A57" s="7" t="s">
        <v>51</v>
      </c>
      <c r="B57" s="5">
        <v>69.75</v>
      </c>
      <c r="C57" s="7" t="s">
        <v>92</v>
      </c>
      <c r="D57" s="5">
        <v>115</v>
      </c>
      <c r="E57" s="5">
        <v>83</v>
      </c>
      <c r="F57" s="7">
        <v>40.705599999999997</v>
      </c>
      <c r="G57" s="5">
        <v>5.181</v>
      </c>
      <c r="H57" s="5">
        <v>5.6830999999999996</v>
      </c>
      <c r="I57" s="5">
        <v>5.4320500000000003</v>
      </c>
      <c r="J57" s="5">
        <v>2.605</v>
      </c>
      <c r="K57" s="7">
        <v>1.44</v>
      </c>
      <c r="L57" s="5">
        <v>3</v>
      </c>
      <c r="M57" s="5">
        <v>3</v>
      </c>
      <c r="N57" s="7">
        <v>0</v>
      </c>
    </row>
    <row r="58" spans="1:14" x14ac:dyDescent="0.25">
      <c r="A58" s="10" t="s">
        <v>84</v>
      </c>
      <c r="B58" s="5">
        <v>80.88</v>
      </c>
      <c r="C58" s="7" t="s">
        <v>92</v>
      </c>
      <c r="D58" s="5">
        <v>172</v>
      </c>
      <c r="E58" s="5">
        <v>83</v>
      </c>
      <c r="F58" s="7">
        <v>57.8035</v>
      </c>
      <c r="G58" s="5">
        <v>48.087299999999999</v>
      </c>
      <c r="H58" s="5">
        <v>15.6289</v>
      </c>
      <c r="I58" s="5">
        <v>31.8581</v>
      </c>
      <c r="J58" s="5">
        <v>3.1749999999999998</v>
      </c>
      <c r="K58" s="7">
        <v>1.4750000000000001</v>
      </c>
      <c r="L58" s="5">
        <v>3</v>
      </c>
      <c r="M58" s="5">
        <v>3</v>
      </c>
      <c r="N58" s="7">
        <v>0</v>
      </c>
    </row>
    <row r="59" spans="1:14" x14ac:dyDescent="0.25">
      <c r="A59" s="7" t="s">
        <v>59</v>
      </c>
      <c r="B59" s="5">
        <v>68.08</v>
      </c>
      <c r="C59" s="7" t="s">
        <v>91</v>
      </c>
      <c r="D59" s="5">
        <v>100</v>
      </c>
      <c r="E59" s="5">
        <v>60</v>
      </c>
      <c r="F59" s="7">
        <v>49.180300000000003</v>
      </c>
      <c r="G59" s="5">
        <v>32.415100000000002</v>
      </c>
      <c r="H59" s="5">
        <v>16.4726</v>
      </c>
      <c r="I59" s="5">
        <v>24.443850000000001</v>
      </c>
      <c r="J59" s="5">
        <v>3.9550000000000001</v>
      </c>
      <c r="K59" s="7">
        <v>1.03</v>
      </c>
      <c r="L59" s="5">
        <v>2</v>
      </c>
      <c r="M59" s="5">
        <v>3</v>
      </c>
      <c r="N59" s="7">
        <v>0</v>
      </c>
    </row>
    <row r="60" spans="1:14" x14ac:dyDescent="0.25">
      <c r="A60" s="7" t="s">
        <v>66</v>
      </c>
      <c r="B60" s="5">
        <v>69.39</v>
      </c>
      <c r="C60" s="7" t="s">
        <v>92</v>
      </c>
      <c r="D60" s="5">
        <v>113</v>
      </c>
      <c r="E60" s="5">
        <v>76</v>
      </c>
      <c r="F60" s="7">
        <v>63.157899999999998</v>
      </c>
      <c r="G60" s="5">
        <v>3.3708999999999998</v>
      </c>
      <c r="H60" s="5">
        <v>7.8113999999999999</v>
      </c>
      <c r="I60" s="5">
        <v>5.5911499999999998</v>
      </c>
      <c r="J60" s="5">
        <v>3.55</v>
      </c>
      <c r="K60" s="7">
        <v>0.87000000000000011</v>
      </c>
      <c r="L60" s="5">
        <v>3</v>
      </c>
      <c r="M60" s="5">
        <v>3</v>
      </c>
      <c r="N60" s="7">
        <v>0</v>
      </c>
    </row>
    <row r="61" spans="1:14" x14ac:dyDescent="0.25">
      <c r="A61" s="7" t="s">
        <v>70</v>
      </c>
      <c r="B61" s="5">
        <v>68.16</v>
      </c>
      <c r="C61" s="7" t="s">
        <v>92</v>
      </c>
      <c r="D61" s="5">
        <v>154</v>
      </c>
      <c r="E61" s="5">
        <v>90</v>
      </c>
      <c r="F61" s="7">
        <v>63.965899999999998</v>
      </c>
      <c r="G61" s="5">
        <v>7.9787999999999997</v>
      </c>
      <c r="H61" s="5">
        <v>8.0017999999999994</v>
      </c>
      <c r="I61" s="5">
        <v>7.9903000000000004</v>
      </c>
      <c r="J61" s="5">
        <v>3.2949999999999999</v>
      </c>
      <c r="K61" s="7"/>
      <c r="L61" s="5">
        <v>3</v>
      </c>
      <c r="M61" s="5">
        <v>3</v>
      </c>
      <c r="N61" s="7">
        <v>0</v>
      </c>
    </row>
    <row r="62" spans="1:14" x14ac:dyDescent="0.25">
      <c r="A62" s="8" t="s">
        <v>74</v>
      </c>
      <c r="B62" s="6">
        <v>77.94</v>
      </c>
      <c r="C62" s="8" t="s">
        <v>92</v>
      </c>
      <c r="D62" s="6">
        <v>169</v>
      </c>
      <c r="E62" s="6">
        <v>77</v>
      </c>
      <c r="F62" s="8">
        <v>63.424900000000001</v>
      </c>
      <c r="G62" s="6">
        <v>31.006900000000002</v>
      </c>
      <c r="H62" s="6">
        <v>24.359300000000001</v>
      </c>
      <c r="I62" s="6">
        <v>27.6831</v>
      </c>
      <c r="J62" s="6">
        <v>3.3050000000000002</v>
      </c>
      <c r="K62" s="8">
        <v>1.53</v>
      </c>
      <c r="L62" s="6">
        <v>2</v>
      </c>
      <c r="M62" s="6">
        <v>3</v>
      </c>
      <c r="N62" s="8">
        <v>0</v>
      </c>
    </row>
    <row r="64" spans="1:14" x14ac:dyDescent="0.25">
      <c r="A64" s="11" t="str">
        <f>"# SUBJECTS= " &amp; COUNTA(A2:A62)</f>
        <v># SUBJECTS= 61</v>
      </c>
      <c r="B64" s="5"/>
      <c r="C64" s="12" t="s">
        <v>107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spans="1:14" x14ac:dyDescent="0.25">
      <c r="A65" s="5" t="s">
        <v>97</v>
      </c>
      <c r="B65" s="9">
        <f>AVERAGE(B2:B62)</f>
        <v>73.490491803278672</v>
      </c>
      <c r="C65" s="14">
        <f>COUNTIF(C2:C62,"Female")</f>
        <v>36</v>
      </c>
      <c r="D65" s="9">
        <f t="shared" ref="D65:K65" si="0">AVERAGE(D2:D62)</f>
        <v>131.85245901639345</v>
      </c>
      <c r="E65" s="9">
        <f t="shared" si="0"/>
        <v>76.754098360655732</v>
      </c>
      <c r="F65" s="9">
        <f t="shared" si="0"/>
        <v>61.06261639344261</v>
      </c>
      <c r="G65" s="9">
        <f t="shared" si="0"/>
        <v>23.461393333333334</v>
      </c>
      <c r="H65" s="9">
        <f t="shared" si="0"/>
        <v>18.391481967213117</v>
      </c>
      <c r="I65" s="9">
        <f t="shared" si="0"/>
        <v>20.945600000000002</v>
      </c>
      <c r="J65" s="9">
        <f t="shared" si="0"/>
        <v>3.369344262295082</v>
      </c>
      <c r="K65" s="9">
        <f t="shared" si="0"/>
        <v>1.2649166666666667</v>
      </c>
      <c r="L65" s="14"/>
      <c r="M65" s="14"/>
      <c r="N65" s="14">
        <f>COUNTIF(N2:N62,0)</f>
        <v>53</v>
      </c>
    </row>
    <row r="66" spans="1:14" x14ac:dyDescent="0.25">
      <c r="A66" s="5" t="s">
        <v>98</v>
      </c>
      <c r="B66" s="9">
        <f>_xlfn.STDEV.S(B2:B62)</f>
        <v>7.5576209718470357</v>
      </c>
      <c r="C66" s="14">
        <f>COUNTIF(C2:C62,"Male")</f>
        <v>25</v>
      </c>
      <c r="D66" s="9">
        <f t="shared" ref="D66:K66" si="1">_xlfn.STDEV.S(D2:D62)</f>
        <v>20.806117742604563</v>
      </c>
      <c r="E66" s="9">
        <f t="shared" si="1"/>
        <v>8.2029582828491776</v>
      </c>
      <c r="F66" s="9">
        <f t="shared" si="1"/>
        <v>9.7766696045429811</v>
      </c>
      <c r="G66" s="9">
        <f t="shared" si="1"/>
        <v>14.619916926227225</v>
      </c>
      <c r="H66" s="9">
        <f t="shared" si="1"/>
        <v>11.993708580675504</v>
      </c>
      <c r="I66" s="9">
        <f t="shared" si="1"/>
        <v>10.514790173350265</v>
      </c>
      <c r="J66" s="9">
        <f t="shared" si="1"/>
        <v>0.71582148345440411</v>
      </c>
      <c r="K66" s="9">
        <f t="shared" si="1"/>
        <v>0.25128229055789508</v>
      </c>
      <c r="L66" s="14">
        <f>COUNTIF(L2:L62,2)</f>
        <v>9</v>
      </c>
      <c r="M66" s="14">
        <f>COUNTIF(M2:M62,2)</f>
        <v>0</v>
      </c>
      <c r="N66" s="14">
        <f>COUNTIF(N2:N62,1)</f>
        <v>8</v>
      </c>
    </row>
    <row r="67" spans="1:14" x14ac:dyDescent="0.25">
      <c r="A67" s="5" t="s">
        <v>99</v>
      </c>
      <c r="B67" s="5">
        <f>MAX(B2:B62)</f>
        <v>90.37</v>
      </c>
      <c r="C67" s="14">
        <f>SUM(C65:C66)</f>
        <v>61</v>
      </c>
      <c r="D67" s="5">
        <f t="shared" ref="D67:K67" si="2">MAX(D2:D62)</f>
        <v>198</v>
      </c>
      <c r="E67" s="5">
        <f t="shared" si="2"/>
        <v>92</v>
      </c>
      <c r="F67" s="5">
        <f t="shared" si="2"/>
        <v>92.879300000000001</v>
      </c>
      <c r="G67" s="5">
        <f t="shared" si="2"/>
        <v>64.666899999999998</v>
      </c>
      <c r="H67" s="5">
        <f t="shared" si="2"/>
        <v>61.820700000000002</v>
      </c>
      <c r="I67" s="5">
        <f t="shared" si="2"/>
        <v>52.245649999999998</v>
      </c>
      <c r="J67" s="5">
        <f t="shared" si="2"/>
        <v>5.2349999999999994</v>
      </c>
      <c r="K67" s="5">
        <f t="shared" si="2"/>
        <v>1.9550000000000001</v>
      </c>
      <c r="L67" s="14">
        <f>COUNTIF(L2:L62,3)</f>
        <v>43</v>
      </c>
      <c r="M67" s="14">
        <f>COUNTIF(M2:M62,3)</f>
        <v>46</v>
      </c>
      <c r="N67" s="14">
        <f>SUM(N65:N66)</f>
        <v>61</v>
      </c>
    </row>
    <row r="68" spans="1:14" x14ac:dyDescent="0.25">
      <c r="A68" s="5" t="s">
        <v>100</v>
      </c>
      <c r="B68" s="5">
        <f>MIN(B2:B62)</f>
        <v>56.52</v>
      </c>
      <c r="C68" s="20">
        <f>C65/(C67)*100</f>
        <v>59.016393442622949</v>
      </c>
      <c r="D68" s="5">
        <f>MIN(D2:D62)</f>
        <v>95</v>
      </c>
      <c r="E68" s="5">
        <f t="shared" ref="E68:K68" si="3">MIN(E2:E62)</f>
        <v>49</v>
      </c>
      <c r="F68" s="5">
        <f t="shared" si="3"/>
        <v>40.705599999999997</v>
      </c>
      <c r="G68" s="5">
        <f t="shared" si="3"/>
        <v>3.3708999999999998</v>
      </c>
      <c r="H68" s="5">
        <f t="shared" si="3"/>
        <v>2.0804</v>
      </c>
      <c r="I68" s="5">
        <f t="shared" si="3"/>
        <v>5.4320500000000003</v>
      </c>
      <c r="J68" s="5">
        <f t="shared" si="3"/>
        <v>2.11</v>
      </c>
      <c r="K68" s="5">
        <f t="shared" si="3"/>
        <v>0.68</v>
      </c>
      <c r="L68" s="14">
        <f>COUNTIF(L2:L62,4)</f>
        <v>1</v>
      </c>
      <c r="M68" s="14">
        <f>COUNTIF(M2:M62,4)</f>
        <v>7</v>
      </c>
      <c r="N68" s="15">
        <f>N66/N67*100</f>
        <v>13.114754098360656</v>
      </c>
    </row>
    <row r="69" spans="1:14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spans="1:14" x14ac:dyDescent="0.25">
      <c r="A70" s="15" t="s">
        <v>106</v>
      </c>
      <c r="B70" s="5"/>
      <c r="C70" s="5"/>
      <c r="D70" s="5"/>
      <c r="E70" s="5"/>
      <c r="F70" s="5"/>
      <c r="G70" s="5"/>
      <c r="H70" s="5"/>
      <c r="I70" s="5"/>
      <c r="J70" s="5"/>
      <c r="K70" s="30" t="s">
        <v>110</v>
      </c>
      <c r="L70" s="30">
        <v>0</v>
      </c>
      <c r="M70" s="31"/>
    </row>
    <row r="71" spans="1:14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30" t="s">
        <v>111</v>
      </c>
      <c r="L71" s="30">
        <v>9</v>
      </c>
      <c r="M71" s="31"/>
    </row>
    <row r="72" spans="1:14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30" t="s">
        <v>112</v>
      </c>
      <c r="L72" s="30">
        <v>39</v>
      </c>
      <c r="M72" s="31"/>
    </row>
    <row r="73" spans="1:14" x14ac:dyDescent="0.25">
      <c r="K73" s="29" t="s">
        <v>113</v>
      </c>
      <c r="L73" s="29">
        <v>7</v>
      </c>
      <c r="M73" s="31"/>
    </row>
    <row r="74" spans="1:14" x14ac:dyDescent="0.25">
      <c r="K74" s="29" t="s">
        <v>114</v>
      </c>
      <c r="L74" s="29">
        <v>2</v>
      </c>
      <c r="M74" s="31"/>
    </row>
    <row r="76" spans="1:14" x14ac:dyDescent="0.25">
      <c r="G76">
        <f>8/28</f>
        <v>0.2857142857142857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DA300-885B-4F53-87C3-1F9490461AC8}">
  <dimension ref="A1:M16"/>
  <sheetViews>
    <sheetView workbookViewId="0">
      <selection activeCell="N13" sqref="N13"/>
    </sheetView>
  </sheetViews>
  <sheetFormatPr defaultRowHeight="15" x14ac:dyDescent="0.25"/>
  <cols>
    <col min="1" max="1" width="16.140625" customWidth="1"/>
    <col min="7" max="8" width="10.7109375" customWidth="1"/>
    <col min="9" max="9" width="10.5703125" customWidth="1"/>
    <col min="10" max="10" width="16.28515625" customWidth="1"/>
    <col min="11" max="11" width="14.42578125" customWidth="1"/>
    <col min="12" max="12" width="10.42578125" customWidth="1"/>
  </cols>
  <sheetData>
    <row r="1" spans="1:13" x14ac:dyDescent="0.25">
      <c r="A1" s="8"/>
      <c r="B1" s="6" t="s">
        <v>101</v>
      </c>
      <c r="C1" s="6" t="s">
        <v>105</v>
      </c>
      <c r="D1" s="6" t="s">
        <v>88</v>
      </c>
      <c r="E1" s="6" t="s">
        <v>89</v>
      </c>
      <c r="F1" s="8" t="s">
        <v>95</v>
      </c>
      <c r="G1" s="6" t="s">
        <v>21</v>
      </c>
      <c r="H1" s="6" t="s">
        <v>22</v>
      </c>
      <c r="I1" s="6" t="s">
        <v>23</v>
      </c>
      <c r="J1" s="6" t="s">
        <v>86</v>
      </c>
      <c r="K1" s="8" t="s">
        <v>87</v>
      </c>
      <c r="L1" s="32" t="s">
        <v>109</v>
      </c>
      <c r="M1" s="8" t="s">
        <v>108</v>
      </c>
    </row>
    <row r="2" spans="1:13" x14ac:dyDescent="0.25">
      <c r="A2" s="7" t="s">
        <v>102</v>
      </c>
      <c r="B2" s="11">
        <f>_xlfn.F.TEST(AD!B2:B21,CN!B2:B42)</f>
        <v>0.10127236495291711</v>
      </c>
      <c r="C2" s="13"/>
      <c r="D2" s="5">
        <f>_xlfn.F.TEST(AD!D2:D21,CN!D2:D42)</f>
        <v>0.50478309512162645</v>
      </c>
      <c r="E2" s="5">
        <f>_xlfn.F.TEST(AD!E2:E21,CN!E2:E42)</f>
        <v>5.0170536801886906E-2</v>
      </c>
      <c r="F2" s="16">
        <f>_xlfn.F.TEST(AD!F2:F21,CN!F2:F42)</f>
        <v>0.35029615345279747</v>
      </c>
      <c r="G2" s="5">
        <f>_xlfn.F.TEST(AD!G2:G21,CN!G2:G42)</f>
        <v>0.18574965253148942</v>
      </c>
      <c r="H2" s="5">
        <f>_xlfn.F.TEST(AD!H2:H21,CN!H2:H42)</f>
        <v>5.9191019854106589E-2</v>
      </c>
      <c r="I2" s="5">
        <f>_xlfn.F.TEST(AD!I2:I21,CN!I2:I42)</f>
        <v>0.71265177581382366</v>
      </c>
      <c r="J2" s="5">
        <f>_xlfn.F.TEST(AD!J2:J21,CN!J2:J42)</f>
        <v>0.30362835922512788</v>
      </c>
      <c r="K2" s="16">
        <f>_xlfn.F.TEST(AD!K2:K21,CN!K2:K42)</f>
        <v>0.14784851928555234</v>
      </c>
      <c r="M2" s="16"/>
    </row>
    <row r="3" spans="1:13" x14ac:dyDescent="0.25">
      <c r="A3" s="7" t="s">
        <v>103</v>
      </c>
      <c r="B3" s="17">
        <f>_xlfn.T.TEST(AD!B2:B21,CN!B2:B42,2,3)</f>
        <v>0.95923218254243192</v>
      </c>
      <c r="C3" s="23"/>
      <c r="D3" s="17">
        <f>_xlfn.T.TEST(AD!D2:D21,CN!D2:D42,2,2)</f>
        <v>0.77525355248160233</v>
      </c>
      <c r="E3" s="17">
        <f>_xlfn.T.TEST(AD!E2:E21,CN!E2:E42,2,2)</f>
        <v>0.23331896205545188</v>
      </c>
      <c r="F3" s="7">
        <f>_xlfn.T.TEST(AD!F2:F21,CN!F2:F42,2,2)</f>
        <v>0.55494579222063511</v>
      </c>
      <c r="G3" s="24">
        <f>_xlfn.T.TEST(AD!G2:G21,CN!G2:G42,2,2)</f>
        <v>3.2492366843390248E-2</v>
      </c>
      <c r="H3" s="24">
        <f>_xlfn.T.TEST(AD!H2:H21,CN!H2:H42,2,2)</f>
        <v>6.697696495561833E-5</v>
      </c>
      <c r="I3" s="24">
        <f>_xlfn.T.TEST(AD!I2:I21,CN!I2:I42,2,2)</f>
        <v>1.4228499234824398E-4</v>
      </c>
      <c r="J3" s="24">
        <f>_xlfn.T.TEST(AD!J2:J21,CN!J2:J42,2,2)</f>
        <v>0.17133362045901662</v>
      </c>
      <c r="K3" s="7">
        <f>_xlfn.T.TEST(AD!K2:K21,CN!K2:K42,2,2)</f>
        <v>0.55581762173263627</v>
      </c>
      <c r="M3" s="7"/>
    </row>
    <row r="4" spans="1:13" x14ac:dyDescent="0.25">
      <c r="A4" s="8" t="s">
        <v>104</v>
      </c>
      <c r="B4" s="6"/>
      <c r="C4" s="6" cm="1">
        <f t="array" ref="C4">[1]!FISHERTEST(B5:C6)</f>
        <v>0.58369413669588799</v>
      </c>
      <c r="D4" s="6"/>
      <c r="E4" s="6"/>
      <c r="F4" s="8"/>
      <c r="G4" s="6"/>
      <c r="H4" s="6"/>
      <c r="I4" s="6"/>
      <c r="J4" s="6"/>
      <c r="K4" s="8"/>
      <c r="L4" s="33" cm="1">
        <f t="array" ref="L4">[1]!FISHERTEST(L5:M6)</f>
        <v>2.5090973918517803E-4</v>
      </c>
      <c r="M4" s="26" cm="1">
        <f t="array" ref="M4">[1]!FISHERTEST(L9:M10)</f>
        <v>1.1220656227410978E-3</v>
      </c>
    </row>
    <row r="5" spans="1:13" x14ac:dyDescent="0.25">
      <c r="A5" s="17"/>
      <c r="B5" s="25">
        <v>13</v>
      </c>
      <c r="C5" s="7">
        <v>23</v>
      </c>
      <c r="L5" s="21">
        <v>6</v>
      </c>
      <c r="M5" s="16">
        <v>40</v>
      </c>
    </row>
    <row r="6" spans="1:13" x14ac:dyDescent="0.25">
      <c r="A6" s="17"/>
      <c r="B6" s="22">
        <v>7</v>
      </c>
      <c r="C6" s="8">
        <v>19</v>
      </c>
      <c r="L6" s="22">
        <v>6</v>
      </c>
      <c r="M6" s="8">
        <v>1</v>
      </c>
    </row>
    <row r="7" spans="1:13" x14ac:dyDescent="0.25">
      <c r="C7" t="s">
        <v>90</v>
      </c>
      <c r="M7" t="s">
        <v>120</v>
      </c>
    </row>
    <row r="8" spans="1:13" x14ac:dyDescent="0.25">
      <c r="L8" s="6"/>
      <c r="M8" s="6"/>
    </row>
    <row r="9" spans="1:13" x14ac:dyDescent="0.25">
      <c r="L9" s="25">
        <v>40</v>
      </c>
      <c r="M9" s="7">
        <v>13</v>
      </c>
    </row>
    <row r="10" spans="1:13" x14ac:dyDescent="0.25">
      <c r="L10" s="22">
        <v>1</v>
      </c>
      <c r="M10" s="8">
        <v>7</v>
      </c>
    </row>
    <row r="11" spans="1:13" x14ac:dyDescent="0.25">
      <c r="K11" s="5"/>
      <c r="M11" t="s">
        <v>108</v>
      </c>
    </row>
    <row r="12" spans="1:13" x14ac:dyDescent="0.25">
      <c r="K12" s="5"/>
    </row>
    <row r="13" spans="1:13" x14ac:dyDescent="0.25">
      <c r="K13" s="5"/>
    </row>
    <row r="14" spans="1:13" x14ac:dyDescent="0.25">
      <c r="K14" s="5"/>
      <c r="L14" s="5"/>
    </row>
    <row r="15" spans="1:13" x14ac:dyDescent="0.25">
      <c r="K15" s="5"/>
      <c r="L15" s="5"/>
    </row>
    <row r="16" spans="1:13" x14ac:dyDescent="0.25">
      <c r="K16" s="5"/>
      <c r="L1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</vt:lpstr>
      <vt:lpstr>MCI</vt:lpstr>
      <vt:lpstr>CN</vt:lpstr>
      <vt:lpstr>Combined</vt:lpstr>
      <vt:lpstr>Stats</vt:lpstr>
    </vt:vector>
  </TitlesOfParts>
  <Company>UWMP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Rivera</dc:creator>
  <cp:lastModifiedBy>robertsgr</cp:lastModifiedBy>
  <dcterms:created xsi:type="dcterms:W3CDTF">2019-08-05T20:42:18Z</dcterms:created>
  <dcterms:modified xsi:type="dcterms:W3CDTF">2020-11-30T16:00:34Z</dcterms:modified>
</cp:coreProperties>
</file>